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fe8e9225872e59fb/Documents/"/>
    </mc:Choice>
  </mc:AlternateContent>
  <xr:revisionPtr revIDLastSave="18" documentId="8_{1273E6DB-0878-4894-A868-7BC39F3FB7BB}" xr6:coauthVersionLast="47" xr6:coauthVersionMax="47" xr10:uidLastSave="{063E4B17-22FC-4347-A054-BEFC8E96C773}"/>
  <bookViews>
    <workbookView xWindow="-110" yWindow="-110" windowWidth="19420" windowHeight="10300" xr2:uid="{00000000-000D-0000-FFFF-FFFF00000000}"/>
  </bookViews>
  <sheets>
    <sheet name="Input Values Here" sheetId="1" r:id="rId1"/>
    <sheet name="Ratios Applied" sheetId="3" r:id="rId2"/>
    <sheet name="GVA Calculation" sheetId="5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95" i="5" l="1"/>
  <c r="E94" i="5"/>
  <c r="E93" i="5"/>
  <c r="E92" i="5"/>
  <c r="E96" i="5" s="1"/>
  <c r="D86" i="5" l="1"/>
  <c r="C86" i="5"/>
  <c r="E86" i="5" s="1"/>
  <c r="B86" i="5"/>
  <c r="D85" i="5"/>
  <c r="C85" i="5"/>
  <c r="B85" i="5"/>
  <c r="D84" i="5"/>
  <c r="C84" i="5"/>
  <c r="B84" i="5"/>
  <c r="D83" i="5"/>
  <c r="C83" i="5"/>
  <c r="E83" i="5" s="1"/>
  <c r="B83" i="5"/>
  <c r="D82" i="5"/>
  <c r="C82" i="5"/>
  <c r="E82" i="5" s="1"/>
  <c r="B82" i="5"/>
  <c r="D81" i="5"/>
  <c r="C81" i="5"/>
  <c r="B81" i="5"/>
  <c r="D80" i="5"/>
  <c r="C80" i="5"/>
  <c r="B80" i="5"/>
  <c r="D79" i="5"/>
  <c r="C79" i="5"/>
  <c r="E79" i="5" s="1"/>
  <c r="B79" i="5"/>
  <c r="D78" i="5"/>
  <c r="C78" i="5"/>
  <c r="E78" i="5" s="1"/>
  <c r="B78" i="5"/>
  <c r="D77" i="5"/>
  <c r="C77" i="5"/>
  <c r="E77" i="5" s="1"/>
  <c r="B77" i="5"/>
  <c r="D76" i="5"/>
  <c r="C76" i="5"/>
  <c r="B76" i="5"/>
  <c r="D75" i="5"/>
  <c r="C75" i="5"/>
  <c r="E75" i="5" s="1"/>
  <c r="B75" i="5"/>
  <c r="D74" i="5"/>
  <c r="C74" i="5"/>
  <c r="B74" i="5"/>
  <c r="D73" i="5"/>
  <c r="C73" i="5"/>
  <c r="B73" i="5"/>
  <c r="D72" i="5"/>
  <c r="C72" i="5"/>
  <c r="B72" i="5"/>
  <c r="D71" i="5"/>
  <c r="C71" i="5"/>
  <c r="B71" i="5"/>
  <c r="D70" i="5"/>
  <c r="C70" i="5"/>
  <c r="E70" i="5" s="1"/>
  <c r="B70" i="5"/>
  <c r="D69" i="5"/>
  <c r="C69" i="5"/>
  <c r="B69" i="5"/>
  <c r="D68" i="5"/>
  <c r="C68" i="5"/>
  <c r="B68" i="5"/>
  <c r="D67" i="5"/>
  <c r="C67" i="5"/>
  <c r="B67" i="5"/>
  <c r="D66" i="5"/>
  <c r="C66" i="5"/>
  <c r="E66" i="5" s="1"/>
  <c r="B66" i="5"/>
  <c r="D65" i="5"/>
  <c r="C65" i="5"/>
  <c r="E65" i="5" s="1"/>
  <c r="B65" i="5"/>
  <c r="D64" i="5"/>
  <c r="C64" i="5"/>
  <c r="B64" i="5"/>
  <c r="D47" i="5"/>
  <c r="C47" i="5"/>
  <c r="E47" i="5" s="1"/>
  <c r="D46" i="5"/>
  <c r="C46" i="5"/>
  <c r="D45" i="5"/>
  <c r="C45" i="5"/>
  <c r="D44" i="5"/>
  <c r="C44" i="5"/>
  <c r="D37" i="5"/>
  <c r="C37" i="5"/>
  <c r="D36" i="5"/>
  <c r="D35" i="5"/>
  <c r="C35" i="5"/>
  <c r="D34" i="5"/>
  <c r="C34" i="5"/>
  <c r="D30" i="5"/>
  <c r="C30" i="5"/>
  <c r="E30" i="5" s="1"/>
  <c r="D29" i="5"/>
  <c r="C29" i="5"/>
  <c r="D28" i="5"/>
  <c r="C28" i="5"/>
  <c r="D27" i="5"/>
  <c r="C27" i="5"/>
  <c r="D26" i="5"/>
  <c r="C26" i="5"/>
  <c r="E26" i="5" s="1"/>
  <c r="D23" i="5"/>
  <c r="C23" i="5"/>
  <c r="D22" i="5"/>
  <c r="C22" i="5"/>
  <c r="D21" i="5"/>
  <c r="C21" i="5"/>
  <c r="E21" i="5" s="1"/>
  <c r="D20" i="5"/>
  <c r="C20" i="5"/>
  <c r="E20" i="5" s="1"/>
  <c r="D19" i="5"/>
  <c r="C19" i="5"/>
  <c r="D16" i="5"/>
  <c r="C16" i="5"/>
  <c r="E16" i="5" s="1"/>
  <c r="D15" i="5"/>
  <c r="C15" i="5"/>
  <c r="D14" i="5"/>
  <c r="C14" i="5"/>
  <c r="D11" i="5"/>
  <c r="C11" i="5"/>
  <c r="D10" i="5"/>
  <c r="C10" i="5"/>
  <c r="D7" i="5"/>
  <c r="C7" i="5"/>
  <c r="D6" i="5"/>
  <c r="C6" i="5"/>
  <c r="E6" i="5" s="1"/>
  <c r="D5" i="5"/>
  <c r="C5" i="5"/>
  <c r="D4" i="5"/>
  <c r="C4" i="5"/>
  <c r="E55" i="5" l="1"/>
  <c r="E49" i="5"/>
  <c r="E27" i="5"/>
  <c r="C36" i="5"/>
  <c r="E36" i="5" s="1"/>
  <c r="E85" i="5"/>
  <c r="E35" i="5"/>
  <c r="E73" i="5"/>
  <c r="E81" i="5"/>
  <c r="E68" i="5"/>
  <c r="E76" i="5"/>
  <c r="E80" i="5"/>
  <c r="E44" i="5"/>
  <c r="E15" i="5"/>
  <c r="E11" i="5"/>
  <c r="E5" i="5"/>
  <c r="E7" i="5"/>
  <c r="E29" i="5"/>
  <c r="E4" i="5"/>
  <c r="E14" i="5"/>
  <c r="E46" i="5"/>
  <c r="E67" i="5"/>
  <c r="E64" i="5"/>
  <c r="E28" i="5"/>
  <c r="E40" i="5" s="1"/>
  <c r="E37" i="5"/>
  <c r="E71" i="5"/>
  <c r="E22" i="5"/>
  <c r="E23" i="5"/>
  <c r="E72" i="5"/>
  <c r="E45" i="5"/>
  <c r="E69" i="5"/>
  <c r="E19" i="5"/>
  <c r="E84" i="5"/>
  <c r="E10" i="5"/>
  <c r="E74" i="5"/>
  <c r="E34" i="5"/>
  <c r="E17" i="5" l="1"/>
  <c r="E12" i="5"/>
  <c r="E8" i="5"/>
  <c r="E56" i="5"/>
  <c r="E53" i="5"/>
  <c r="E31" i="5"/>
  <c r="E32" i="5" s="1"/>
  <c r="E54" i="5"/>
  <c r="E52" i="5"/>
  <c r="E57" i="5"/>
  <c r="E51" i="5"/>
  <c r="E50" i="5"/>
  <c r="E41" i="5"/>
  <c r="E42" i="5" s="1"/>
  <c r="E24" i="5"/>
  <c r="E87" i="5"/>
  <c r="E38" i="5"/>
  <c r="E58" i="5" l="1"/>
  <c r="E59" i="5" s="1"/>
  <c r="E61" i="5" s="1"/>
  <c r="E91" i="5" s="1"/>
  <c r="E97" i="5" l="1"/>
  <c r="E98" i="5" s="1"/>
  <c r="E99" i="5" l="1"/>
</calcChain>
</file>

<file path=xl/sharedStrings.xml><?xml version="1.0" encoding="utf-8"?>
<sst xmlns="http://schemas.openxmlformats.org/spreadsheetml/2006/main" count="446" uniqueCount="197">
  <si>
    <t>Livestock GVA Estimator — Officer Input</t>
  </si>
  <si>
    <t>1. General &amp; GVA Input Costs</t>
  </si>
  <si>
    <t>District</t>
  </si>
  <si>
    <t>Bajali</t>
  </si>
  <si>
    <t>Estimation Year</t>
  </si>
  <si>
    <t>2022-23</t>
  </si>
  <si>
    <t>Direct feed cost used in GVA</t>
  </si>
  <si>
    <t>Rs. lakh</t>
  </si>
  <si>
    <t>Market charges</t>
  </si>
  <si>
    <t>Repair &amp; maintenance — construction</t>
  </si>
  <si>
    <t>Repair &amp; maintenance — operational</t>
  </si>
  <si>
    <t>FISIM rate</t>
  </si>
  <si>
    <t>% of unadjusted GVA</t>
  </si>
  <si>
    <t>CFC</t>
  </si>
  <si>
    <t>2. Milk</t>
  </si>
  <si>
    <t>Item</t>
  </si>
  <si>
    <t>Production unit</t>
  </si>
  <si>
    <t>Production</t>
  </si>
  <si>
    <t>Price unit</t>
  </si>
  <si>
    <t>Price</t>
  </si>
  <si>
    <t>Cow milk</t>
  </si>
  <si>
    <t>'000 tonne</t>
  </si>
  <si>
    <t>Rs./tonne</t>
  </si>
  <si>
    <t>Buffalo milk</t>
  </si>
  <si>
    <t>Goat milk</t>
  </si>
  <si>
    <t>Camel milk</t>
  </si>
  <si>
    <t>3. Eggs</t>
  </si>
  <si>
    <t>Gross production</t>
  </si>
  <si>
    <t>Hen eggs</t>
  </si>
  <si>
    <t>'000 nos.</t>
  </si>
  <si>
    <t>Rs./1000 eggs</t>
  </si>
  <si>
    <t>Duck eggs</t>
  </si>
  <si>
    <t>4. Dung &amp; Droppings</t>
  </si>
  <si>
    <t>Input</t>
  </si>
  <si>
    <t>Unit</t>
  </si>
  <si>
    <t>Value</t>
  </si>
  <si>
    <t>Bovine mid-year population</t>
  </si>
  <si>
    <t>Nos.</t>
  </si>
  <si>
    <t>Goat population</t>
  </si>
  <si>
    <t>Sheep population</t>
  </si>
  <si>
    <t>Dung fuel cake</t>
  </si>
  <si>
    <t>Dung manure &amp; goat/sheep droppings</t>
  </si>
  <si>
    <t>5. Silk &amp; Honey</t>
  </si>
  <si>
    <t>Mulberry reeling cocoon</t>
  </si>
  <si>
    <t>'000 kg</t>
  </si>
  <si>
    <t>Rs./kg</t>
  </si>
  <si>
    <t>Eri</t>
  </si>
  <si>
    <t>Tassar</t>
  </si>
  <si>
    <t>Kahan / nos.</t>
  </si>
  <si>
    <t>Rs./Kahan</t>
  </si>
  <si>
    <t>Muga</t>
  </si>
  <si>
    <t>Lakh nos.</t>
  </si>
  <si>
    <t>Rs./1000</t>
  </si>
  <si>
    <t>Honey &amp; bee wax</t>
  </si>
  <si>
    <t>kg</t>
  </si>
  <si>
    <t>6. Meat — production received from AHV Dept.</t>
  </si>
  <si>
    <t>Species</t>
  </si>
  <si>
    <t>Raw production</t>
  </si>
  <si>
    <t>Cattle</t>
  </si>
  <si>
    <t>00 tonne</t>
  </si>
  <si>
    <t>Buffalo</t>
  </si>
  <si>
    <t>Goat</t>
  </si>
  <si>
    <t>Sheep</t>
  </si>
  <si>
    <t>Pig</t>
  </si>
  <si>
    <t>7. Poultry</t>
  </si>
  <si>
    <t>Adult fowl population</t>
  </si>
  <si>
    <t>Rs./bird</t>
  </si>
  <si>
    <t>Adult duck population</t>
  </si>
  <si>
    <t>Other poultry population</t>
  </si>
  <si>
    <t>Total poultry for next year</t>
  </si>
  <si>
    <t>Chicken &amp; ducklings composite price</t>
  </si>
  <si>
    <t>8. Fallen Animals / Hides &amp; Skins</t>
  </si>
  <si>
    <t>Population unit</t>
  </si>
  <si>
    <t>Population</t>
  </si>
  <si>
    <t>Hide/Skin price</t>
  </si>
  <si>
    <t>Rs./hide</t>
  </si>
  <si>
    <t>Rs./skin</t>
  </si>
  <si>
    <t>9. Increment in Stock</t>
  </si>
  <si>
    <t>Category</t>
  </si>
  <si>
    <t>Increment unit</t>
  </si>
  <si>
    <t>Increment quantity</t>
  </si>
  <si>
    <t>Crossbreed cattle — Male</t>
  </si>
  <si>
    <t>Rs./animal</t>
  </si>
  <si>
    <t>Crossbreed cattle — Female</t>
  </si>
  <si>
    <t>Crossbreed cattle — Young stock</t>
  </si>
  <si>
    <t>Crossbreed cattle — Female not calved</t>
  </si>
  <si>
    <t>Indigenous cattle — Male</t>
  </si>
  <si>
    <t>Indigenous cattle — Female</t>
  </si>
  <si>
    <t>Indigenous cattle — Young stock</t>
  </si>
  <si>
    <t>Indigenous cattle — Female not calved</t>
  </si>
  <si>
    <t>Buffalo — Male</t>
  </si>
  <si>
    <t>Buffalo — Female</t>
  </si>
  <si>
    <t>Buffalo — Young stock</t>
  </si>
  <si>
    <t>Buffalo — Female not calved</t>
  </si>
  <si>
    <t>Adult fowls</t>
  </si>
  <si>
    <t>Adult ducks</t>
  </si>
  <si>
    <t>Chicken &amp; ducklings</t>
  </si>
  <si>
    <t>Other poultry</t>
  </si>
  <si>
    <t>Camel</t>
  </si>
  <si>
    <t>Horses &amp; ponies</t>
  </si>
  <si>
    <t>Mules / yaks / mithuns</t>
  </si>
  <si>
    <t>Donkey</t>
  </si>
  <si>
    <t>Value (Rs. lakh)</t>
  </si>
  <si>
    <t>Milk</t>
  </si>
  <si>
    <t>Egg</t>
  </si>
  <si>
    <t>Dung</t>
  </si>
  <si>
    <t>Silk &amp; Honey</t>
  </si>
  <si>
    <t>Feed cost used</t>
  </si>
  <si>
    <t>GVA (unadjusted)</t>
  </si>
  <si>
    <t>FISIM</t>
  </si>
  <si>
    <t>GVA (adjusted)</t>
  </si>
  <si>
    <t>Assumptions &amp; Ratios Used in the Source Estimation</t>
  </si>
  <si>
    <t>Section</t>
  </si>
  <si>
    <t>Assumption</t>
  </si>
  <si>
    <t>Unit / basis</t>
  </si>
  <si>
    <t>Eggs</t>
  </si>
  <si>
    <t>Egg production adjustment</t>
  </si>
  <si>
    <t>%</t>
  </si>
  <si>
    <t>Egg consumption ratio</t>
  </si>
  <si>
    <t>Poultry</t>
  </si>
  <si>
    <t>Eggs used for hatching</t>
  </si>
  <si>
    <t>Hatch survival ratio</t>
  </si>
  <si>
    <t>Adult fowl slaughter ratio</t>
  </si>
  <si>
    <t>Adult duck slaughter ratio</t>
  </si>
  <si>
    <t>Other poultry survival ratio</t>
  </si>
  <si>
    <t>Bovine evacuation rate</t>
  </si>
  <si>
    <t>MT/animal/year</t>
  </si>
  <si>
    <t>Dung used as manure</t>
  </si>
  <si>
    <t>Dung used as fuel</t>
  </si>
  <si>
    <t>Fuel cake conversion</t>
  </si>
  <si>
    <t>Goat droppings</t>
  </si>
  <si>
    <t>kg/day/animal</t>
  </si>
  <si>
    <t>Sheep droppings</t>
  </si>
  <si>
    <t>Meat</t>
  </si>
  <si>
    <t>Manufacturing retention</t>
  </si>
  <si>
    <t>Mortality</t>
  </si>
  <si>
    <t>Cattle mortality</t>
  </si>
  <si>
    <t>Buffalo mortality</t>
  </si>
  <si>
    <t>Goat mortality</t>
  </si>
  <si>
    <t>Sheep mortality</t>
  </si>
  <si>
    <t>Reference</t>
  </si>
  <si>
    <t>Cattle hide yield rate</t>
  </si>
  <si>
    <t>ratio</t>
  </si>
  <si>
    <t>Meat Products / By-products — ratios applied to current species meat value</t>
  </si>
  <si>
    <t>Edible offals</t>
  </si>
  <si>
    <t>Heads &amp; legs</t>
  </si>
  <si>
    <t>Fats (slaughtered)</t>
  </si>
  <si>
    <t>Skin (slaughtered)</t>
  </si>
  <si>
    <t>Inedible offals</t>
  </si>
  <si>
    <t>Guts</t>
  </si>
  <si>
    <t>Blood</t>
  </si>
  <si>
    <t>Tails</t>
  </si>
  <si>
    <t>Bones</t>
  </si>
  <si>
    <t>Horns</t>
  </si>
  <si>
    <t>Hooves</t>
  </si>
  <si>
    <t>Hides (additional)</t>
  </si>
  <si>
    <t>Group</t>
  </si>
  <si>
    <t>Production / quantity</t>
  </si>
  <si>
    <t>Milk total</t>
  </si>
  <si>
    <t>Egg total</t>
  </si>
  <si>
    <t>Dung manure</t>
  </si>
  <si>
    <t>Goat + sheep droppings</t>
  </si>
  <si>
    <t>Dung total</t>
  </si>
  <si>
    <t>Silk &amp; Honey total</t>
  </si>
  <si>
    <t>Edible offals &amp; glands</t>
  </si>
  <si>
    <t>Bovine/Ovine/Pig meat total</t>
  </si>
  <si>
    <t>Poultry Meat</t>
  </si>
  <si>
    <t>Adult fowls killed</t>
  </si>
  <si>
    <t>Adult ducks killed</t>
  </si>
  <si>
    <t>Chicken &amp; ducklings killed</t>
  </si>
  <si>
    <t>Other poultry killed</t>
  </si>
  <si>
    <t>Total</t>
  </si>
  <si>
    <t>Meat Products</t>
  </si>
  <si>
    <t>Fats — slaughtered animals</t>
  </si>
  <si>
    <t>Meat products total</t>
  </si>
  <si>
    <t>Meat By-products</t>
  </si>
  <si>
    <t>Cattle hides (fallen)</t>
  </si>
  <si>
    <t>Buffalo hides (fallen)</t>
  </si>
  <si>
    <t>Goat skin (fallen)</t>
  </si>
  <si>
    <t>Sheep skin (fallen)</t>
  </si>
  <si>
    <t>Meat by-products total</t>
  </si>
  <si>
    <t>Meat group total</t>
  </si>
  <si>
    <t>GVO</t>
  </si>
  <si>
    <t>Output excluding stock</t>
  </si>
  <si>
    <t>Stock</t>
  </si>
  <si>
    <t>Increment</t>
  </si>
  <si>
    <t>Increment in stock total</t>
  </si>
  <si>
    <t>Metric</t>
  </si>
  <si>
    <t>Gross Value of Output (GVO)</t>
  </si>
  <si>
    <t>R&amp;M — construction</t>
  </si>
  <si>
    <t>R&amp;M — operational</t>
  </si>
  <si>
    <t>Total inputs excluding FISIM</t>
  </si>
  <si>
    <t>Chickens from ILC (Indian Livestock Census)</t>
  </si>
  <si>
    <t>Ducklings from ILC (Indian Livestock Census)</t>
  </si>
  <si>
    <t>GVA Estimation</t>
  </si>
  <si>
    <t xml:space="preserve">Livestock GVA Calculation </t>
  </si>
  <si>
    <t>Enter Value in Fields Highlighted in 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</si>
</sst>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;[Red]\(#,##0.00\);\-"/>
    <numFmt numFmtId="165" formatCode="#,##0.000;[Red]\(#,##0.000\);\-"/>
    <numFmt numFmtId="166" formatCode="#,##0;[Red]\(#,##0\);\-"/>
    <numFmt numFmtId="167" formatCode="0.000"/>
  </numFmts>
  <fonts count="7">
    <font>
      <sz val="11"/>
      <name val="Carlito"/>
    </font>
    <font>
      <b/>
      <sz val="16"/>
      <color rgb="FFFFFFFF"/>
      <name val="Carlito"/>
    </font>
    <font>
      <b/>
      <sz val="11"/>
      <color rgb="FFFFFFFF"/>
      <name val="Carlito"/>
    </font>
    <font>
      <b/>
      <sz val="11"/>
      <color rgb="FF1F1F1F"/>
      <name val="Carlito"/>
    </font>
    <font>
      <sz val="11"/>
      <color rgb="FF0000FF"/>
      <name val="Carlito"/>
    </font>
    <font>
      <b/>
      <sz val="11"/>
      <name val="Carlito"/>
    </font>
    <font>
      <b/>
      <i/>
      <sz val="16"/>
      <color rgb="FF595959"/>
      <name val="Carlito"/>
    </font>
  </fonts>
  <fills count="7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F3F6F8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</fills>
  <borders count="15">
    <border>
      <left/>
      <right/>
      <top/>
      <bottom/>
      <diagonal/>
    </border>
    <border>
      <left/>
      <right/>
      <top/>
      <bottom style="thin">
        <color rgb="FF7F8C8D"/>
      </bottom>
      <diagonal/>
    </border>
    <border>
      <left style="thin">
        <color rgb="FFD6B656"/>
      </left>
      <right style="thin">
        <color rgb="FFD6B656"/>
      </right>
      <top style="thin">
        <color rgb="FFD6B656"/>
      </top>
      <bottom/>
      <diagonal/>
    </border>
    <border>
      <left style="thin">
        <color rgb="FFD6B656"/>
      </left>
      <right style="thin">
        <color rgb="FFD6B656"/>
      </right>
      <top/>
      <bottom/>
      <diagonal/>
    </border>
    <border>
      <left style="thin">
        <color rgb="FFD6B656"/>
      </left>
      <right style="thin">
        <color rgb="FFD6B656"/>
      </right>
      <top/>
      <bottom style="thin">
        <color rgb="FFD6B656"/>
      </bottom>
      <diagonal/>
    </border>
    <border>
      <left style="thin">
        <color rgb="FFD6B656"/>
      </left>
      <right style="thin">
        <color rgb="FFD6B656"/>
      </right>
      <top style="thin">
        <color rgb="FFD6B656"/>
      </top>
      <bottom style="thin">
        <color rgb="FFD6B656"/>
      </bottom>
      <diagonal/>
    </border>
    <border>
      <left style="thin">
        <color rgb="FFD6B656"/>
      </left>
      <right/>
      <top style="thin">
        <color rgb="FFD6B656"/>
      </top>
      <bottom/>
      <diagonal/>
    </border>
    <border>
      <left/>
      <right/>
      <top style="thin">
        <color rgb="FFD6B656"/>
      </top>
      <bottom/>
      <diagonal/>
    </border>
    <border>
      <left/>
      <right style="thin">
        <color rgb="FFD6B656"/>
      </right>
      <top style="thin">
        <color rgb="FFD6B656"/>
      </top>
      <bottom/>
      <diagonal/>
    </border>
    <border>
      <left style="thin">
        <color rgb="FFD6B656"/>
      </left>
      <right/>
      <top/>
      <bottom/>
      <diagonal/>
    </border>
    <border>
      <left/>
      <right style="thin">
        <color rgb="FFD6B656"/>
      </right>
      <top/>
      <bottom/>
      <diagonal/>
    </border>
    <border>
      <left style="thin">
        <color rgb="FFD6B656"/>
      </left>
      <right/>
      <top/>
      <bottom style="thin">
        <color rgb="FFD6B656"/>
      </bottom>
      <diagonal/>
    </border>
    <border>
      <left/>
      <right/>
      <top/>
      <bottom style="thin">
        <color rgb="FFD6B656"/>
      </bottom>
      <diagonal/>
    </border>
    <border>
      <left/>
      <right style="thin">
        <color rgb="FFD6B656"/>
      </right>
      <top/>
      <bottom style="thin">
        <color rgb="FFD6B656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3" fillId="5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4" fillId="6" borderId="2" xfId="0" applyFont="1" applyFill="1" applyBorder="1" applyAlignment="1">
      <alignment wrapText="1"/>
    </xf>
    <xf numFmtId="0" fontId="4" fillId="6" borderId="3" xfId="0" applyFont="1" applyFill="1" applyBorder="1" applyAlignment="1">
      <alignment wrapText="1"/>
    </xf>
    <xf numFmtId="164" fontId="4" fillId="6" borderId="3" xfId="0" applyNumberFormat="1" applyFont="1" applyFill="1" applyBorder="1" applyAlignment="1">
      <alignment wrapText="1"/>
    </xf>
    <xf numFmtId="10" fontId="4" fillId="6" borderId="3" xfId="0" applyNumberFormat="1" applyFont="1" applyFill="1" applyBorder="1" applyAlignment="1">
      <alignment wrapText="1"/>
    </xf>
    <xf numFmtId="165" fontId="4" fillId="6" borderId="2" xfId="0" applyNumberFormat="1" applyFont="1" applyFill="1" applyBorder="1" applyAlignment="1">
      <alignment wrapText="1"/>
    </xf>
    <xf numFmtId="166" fontId="4" fillId="6" borderId="2" xfId="0" applyNumberFormat="1" applyFont="1" applyFill="1" applyBorder="1" applyAlignment="1">
      <alignment wrapText="1"/>
    </xf>
    <xf numFmtId="165" fontId="4" fillId="6" borderId="3" xfId="0" applyNumberFormat="1" applyFont="1" applyFill="1" applyBorder="1" applyAlignment="1">
      <alignment wrapText="1"/>
    </xf>
    <xf numFmtId="166" fontId="4" fillId="6" borderId="3" xfId="0" applyNumberFormat="1" applyFont="1" applyFill="1" applyBorder="1" applyAlignment="1">
      <alignment wrapText="1"/>
    </xf>
    <xf numFmtId="165" fontId="4" fillId="6" borderId="4" xfId="0" applyNumberFormat="1" applyFont="1" applyFill="1" applyBorder="1" applyAlignment="1">
      <alignment wrapText="1"/>
    </xf>
    <xf numFmtId="166" fontId="4" fillId="6" borderId="4" xfId="0" applyNumberFormat="1" applyFont="1" applyFill="1" applyBorder="1" applyAlignment="1">
      <alignment wrapText="1"/>
    </xf>
    <xf numFmtId="165" fontId="0" fillId="0" borderId="0" xfId="0" applyNumberFormat="1" applyAlignment="1">
      <alignment wrapText="1"/>
    </xf>
    <xf numFmtId="166" fontId="4" fillId="6" borderId="5" xfId="0" applyNumberFormat="1" applyFont="1" applyFill="1" applyBorder="1" applyAlignment="1">
      <alignment wrapText="1"/>
    </xf>
    <xf numFmtId="10" fontId="4" fillId="6" borderId="2" xfId="0" applyNumberFormat="1" applyFont="1" applyFill="1" applyBorder="1" applyAlignment="1">
      <alignment wrapText="1"/>
    </xf>
    <xf numFmtId="167" fontId="4" fillId="6" borderId="3" xfId="0" applyNumberFormat="1" applyFont="1" applyFill="1" applyBorder="1" applyAlignment="1">
      <alignment wrapText="1"/>
    </xf>
    <xf numFmtId="167" fontId="4" fillId="6" borderId="4" xfId="0" applyNumberFormat="1" applyFont="1" applyFill="1" applyBorder="1" applyAlignment="1">
      <alignment wrapText="1"/>
    </xf>
    <xf numFmtId="10" fontId="4" fillId="6" borderId="6" xfId="0" applyNumberFormat="1" applyFont="1" applyFill="1" applyBorder="1" applyAlignment="1">
      <alignment wrapText="1"/>
    </xf>
    <xf numFmtId="10" fontId="4" fillId="6" borderId="7" xfId="0" applyNumberFormat="1" applyFont="1" applyFill="1" applyBorder="1" applyAlignment="1">
      <alignment wrapText="1"/>
    </xf>
    <xf numFmtId="10" fontId="4" fillId="6" borderId="8" xfId="0" applyNumberFormat="1" applyFont="1" applyFill="1" applyBorder="1" applyAlignment="1">
      <alignment wrapText="1"/>
    </xf>
    <xf numFmtId="10" fontId="4" fillId="6" borderId="9" xfId="0" applyNumberFormat="1" applyFont="1" applyFill="1" applyBorder="1" applyAlignment="1">
      <alignment wrapText="1"/>
    </xf>
    <xf numFmtId="10" fontId="4" fillId="6" borderId="0" xfId="0" applyNumberFormat="1" applyFont="1" applyFill="1" applyAlignment="1">
      <alignment wrapText="1"/>
    </xf>
    <xf numFmtId="10" fontId="4" fillId="6" borderId="10" xfId="0" applyNumberFormat="1" applyFont="1" applyFill="1" applyBorder="1" applyAlignment="1">
      <alignment wrapText="1"/>
    </xf>
    <xf numFmtId="10" fontId="4" fillId="6" borderId="11" xfId="0" applyNumberFormat="1" applyFont="1" applyFill="1" applyBorder="1" applyAlignment="1">
      <alignment wrapText="1"/>
    </xf>
    <xf numFmtId="10" fontId="4" fillId="6" borderId="12" xfId="0" applyNumberFormat="1" applyFont="1" applyFill="1" applyBorder="1" applyAlignment="1">
      <alignment wrapText="1"/>
    </xf>
    <xf numFmtId="10" fontId="4" fillId="6" borderId="13" xfId="0" applyNumberFormat="1" applyFont="1" applyFill="1" applyBorder="1" applyAlignment="1">
      <alignment wrapText="1"/>
    </xf>
    <xf numFmtId="164" fontId="0" fillId="0" borderId="0" xfId="0" applyNumberFormat="1" applyAlignment="1">
      <alignment wrapText="1"/>
    </xf>
    <xf numFmtId="0" fontId="5" fillId="0" borderId="14" xfId="0" applyFont="1" applyBorder="1" applyAlignment="1">
      <alignment wrapText="1"/>
    </xf>
    <xf numFmtId="164" fontId="5" fillId="0" borderId="14" xfId="0" applyNumberFormat="1" applyFont="1" applyBorder="1" applyAlignment="1">
      <alignment wrapText="1"/>
    </xf>
    <xf numFmtId="164" fontId="3" fillId="5" borderId="1" xfId="0" applyNumberFormat="1" applyFont="1" applyFill="1" applyBorder="1" applyAlignment="1">
      <alignment horizontal="center" vertical="center" wrapText="1"/>
    </xf>
    <xf numFmtId="165" fontId="3" fillId="5" borderId="1" xfId="0" applyNumberFormat="1" applyFont="1" applyFill="1" applyBorder="1" applyAlignment="1">
      <alignment horizontal="center" vertical="center" wrapText="1"/>
    </xf>
    <xf numFmtId="165" fontId="5" fillId="0" borderId="14" xfId="0" applyNumberFormat="1" applyFont="1" applyBorder="1" applyAlignment="1">
      <alignment wrapText="1"/>
    </xf>
    <xf numFmtId="0" fontId="1" fillId="2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left" vertical="center" wrapText="1"/>
    </xf>
    <xf numFmtId="0" fontId="6" fillId="3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0"/>
  <sheetViews>
    <sheetView tabSelected="1" workbookViewId="0">
      <selection activeCell="I5" sqref="I5"/>
    </sheetView>
  </sheetViews>
  <sheetFormatPr defaultRowHeight="14"/>
  <cols>
    <col min="1" max="1" width="34" customWidth="1"/>
    <col min="2" max="3" width="16" customWidth="1"/>
    <col min="4" max="5" width="17" customWidth="1"/>
  </cols>
  <sheetData>
    <row r="1" spans="1:5" ht="18.649999999999999" customHeight="1">
      <c r="A1" s="33" t="s">
        <v>0</v>
      </c>
      <c r="B1" s="33"/>
      <c r="C1" s="33"/>
      <c r="D1" s="33"/>
      <c r="E1" s="33"/>
    </row>
    <row r="2" spans="1:5" ht="14.5" customHeight="1">
      <c r="A2" s="35" t="s">
        <v>196</v>
      </c>
      <c r="B2" s="35"/>
      <c r="C2" s="35"/>
      <c r="D2" s="35"/>
      <c r="E2" s="35"/>
    </row>
    <row r="3" spans="1:5" ht="17.399999999999999" customHeight="1">
      <c r="A3" s="35"/>
      <c r="B3" s="35"/>
      <c r="C3" s="35"/>
      <c r="D3" s="35"/>
      <c r="E3" s="35"/>
    </row>
    <row r="4" spans="1:5">
      <c r="A4" s="34" t="s">
        <v>1</v>
      </c>
      <c r="B4" s="34"/>
      <c r="C4" s="34"/>
      <c r="D4" s="34"/>
      <c r="E4" s="34"/>
    </row>
    <row r="5" spans="1:5">
      <c r="A5" s="2" t="s">
        <v>2</v>
      </c>
      <c r="B5" s="2"/>
      <c r="C5" s="3" t="s">
        <v>3</v>
      </c>
      <c r="D5" s="2"/>
      <c r="E5" s="2"/>
    </row>
    <row r="6" spans="1:5">
      <c r="A6" s="2" t="s">
        <v>4</v>
      </c>
      <c r="B6" s="2"/>
      <c r="C6" s="4" t="s">
        <v>5</v>
      </c>
      <c r="D6" s="2"/>
      <c r="E6" s="2"/>
    </row>
    <row r="7" spans="1:5">
      <c r="A7" s="2" t="s">
        <v>6</v>
      </c>
      <c r="B7" s="2" t="s">
        <v>7</v>
      </c>
      <c r="C7" s="5"/>
      <c r="D7" s="2"/>
      <c r="E7" s="2"/>
    </row>
    <row r="8" spans="1:5">
      <c r="A8" s="2" t="s">
        <v>8</v>
      </c>
      <c r="B8" s="2" t="s">
        <v>7</v>
      </c>
      <c r="C8" s="5"/>
      <c r="D8" s="2"/>
      <c r="E8" s="2"/>
    </row>
    <row r="9" spans="1:5">
      <c r="A9" s="2" t="s">
        <v>9</v>
      </c>
      <c r="B9" s="2" t="s">
        <v>7</v>
      </c>
      <c r="C9" s="5"/>
      <c r="D9" s="2"/>
      <c r="E9" s="2"/>
    </row>
    <row r="10" spans="1:5">
      <c r="A10" s="2" t="s">
        <v>10</v>
      </c>
      <c r="B10" s="2" t="s">
        <v>7</v>
      </c>
      <c r="C10" s="5"/>
      <c r="D10" s="2"/>
      <c r="E10" s="2"/>
    </row>
    <row r="11" spans="1:5" ht="28">
      <c r="A11" s="2" t="s">
        <v>11</v>
      </c>
      <c r="B11" s="2" t="s">
        <v>12</v>
      </c>
      <c r="C11" s="6">
        <v>4.0000000000000002E-4</v>
      </c>
      <c r="D11" s="2"/>
      <c r="E11" s="2"/>
    </row>
    <row r="12" spans="1:5">
      <c r="A12" s="2"/>
      <c r="B12" s="2"/>
      <c r="C12" s="2"/>
      <c r="D12" s="2"/>
      <c r="E12" s="2"/>
    </row>
    <row r="13" spans="1:5">
      <c r="A13" s="34" t="s">
        <v>14</v>
      </c>
      <c r="B13" s="34"/>
      <c r="C13" s="34"/>
      <c r="D13" s="34"/>
      <c r="E13" s="34"/>
    </row>
    <row r="14" spans="1:5">
      <c r="A14" s="1" t="s">
        <v>15</v>
      </c>
      <c r="B14" s="1" t="s">
        <v>16</v>
      </c>
      <c r="C14" s="1" t="s">
        <v>17</v>
      </c>
      <c r="D14" s="1" t="s">
        <v>18</v>
      </c>
      <c r="E14" s="1" t="s">
        <v>19</v>
      </c>
    </row>
    <row r="15" spans="1:5">
      <c r="A15" s="2" t="s">
        <v>20</v>
      </c>
      <c r="B15" s="2" t="s">
        <v>21</v>
      </c>
      <c r="C15" s="7"/>
      <c r="D15" s="2" t="s">
        <v>22</v>
      </c>
      <c r="E15" s="8"/>
    </row>
    <row r="16" spans="1:5">
      <c r="A16" s="2" t="s">
        <v>23</v>
      </c>
      <c r="B16" s="2" t="s">
        <v>21</v>
      </c>
      <c r="C16" s="9"/>
      <c r="D16" s="2" t="s">
        <v>22</v>
      </c>
      <c r="E16" s="10"/>
    </row>
    <row r="17" spans="1:5">
      <c r="A17" s="2" t="s">
        <v>24</v>
      </c>
      <c r="B17" s="2" t="s">
        <v>21</v>
      </c>
      <c r="C17" s="9"/>
      <c r="D17" s="2" t="s">
        <v>22</v>
      </c>
      <c r="E17" s="10"/>
    </row>
    <row r="18" spans="1:5">
      <c r="A18" s="2" t="s">
        <v>25</v>
      </c>
      <c r="B18" s="2" t="s">
        <v>21</v>
      </c>
      <c r="C18" s="11"/>
      <c r="D18" s="2" t="s">
        <v>22</v>
      </c>
      <c r="E18" s="12"/>
    </row>
    <row r="19" spans="1:5">
      <c r="A19" s="2"/>
      <c r="B19" s="2"/>
      <c r="C19" s="2"/>
      <c r="D19" s="2"/>
      <c r="E19" s="2"/>
    </row>
    <row r="20" spans="1:5">
      <c r="A20" s="34" t="s">
        <v>26</v>
      </c>
      <c r="B20" s="34"/>
      <c r="C20" s="34"/>
      <c r="D20" s="34"/>
      <c r="E20" s="34"/>
    </row>
    <row r="21" spans="1:5">
      <c r="A21" s="1" t="s">
        <v>15</v>
      </c>
      <c r="B21" s="1" t="s">
        <v>16</v>
      </c>
      <c r="C21" s="1" t="s">
        <v>27</v>
      </c>
      <c r="D21" s="1" t="s">
        <v>18</v>
      </c>
      <c r="E21" s="1" t="s">
        <v>19</v>
      </c>
    </row>
    <row r="22" spans="1:5">
      <c r="A22" s="2" t="s">
        <v>28</v>
      </c>
      <c r="B22" s="2" t="s">
        <v>29</v>
      </c>
      <c r="C22" s="7"/>
      <c r="D22" s="2" t="s">
        <v>30</v>
      </c>
      <c r="E22" s="8"/>
    </row>
    <row r="23" spans="1:5">
      <c r="A23" s="2" t="s">
        <v>31</v>
      </c>
      <c r="B23" s="2" t="s">
        <v>29</v>
      </c>
      <c r="C23" s="11"/>
      <c r="D23" s="2" t="s">
        <v>30</v>
      </c>
      <c r="E23" s="12"/>
    </row>
    <row r="24" spans="1:5">
      <c r="A24" s="2"/>
      <c r="B24" s="2"/>
      <c r="C24" s="2"/>
      <c r="D24" s="2"/>
      <c r="E24" s="2"/>
    </row>
    <row r="25" spans="1:5">
      <c r="A25" s="34" t="s">
        <v>32</v>
      </c>
      <c r="B25" s="34"/>
      <c r="C25" s="34"/>
      <c r="D25" s="34"/>
      <c r="E25" s="34"/>
    </row>
    <row r="26" spans="1:5">
      <c r="A26" s="1" t="s">
        <v>33</v>
      </c>
      <c r="B26" s="1" t="s">
        <v>34</v>
      </c>
      <c r="C26" s="1" t="s">
        <v>35</v>
      </c>
      <c r="D26" s="1" t="s">
        <v>18</v>
      </c>
      <c r="E26" s="1" t="s">
        <v>19</v>
      </c>
    </row>
    <row r="27" spans="1:5">
      <c r="A27" s="2" t="s">
        <v>36</v>
      </c>
      <c r="B27" s="2" t="s">
        <v>37</v>
      </c>
      <c r="C27" s="8"/>
      <c r="D27" s="2"/>
      <c r="E27" s="2"/>
    </row>
    <row r="28" spans="1:5">
      <c r="A28" s="2" t="s">
        <v>38</v>
      </c>
      <c r="B28" s="2" t="s">
        <v>37</v>
      </c>
      <c r="C28" s="10"/>
      <c r="D28" s="2"/>
      <c r="E28" s="2"/>
    </row>
    <row r="29" spans="1:5">
      <c r="A29" s="2" t="s">
        <v>39</v>
      </c>
      <c r="B29" s="2" t="s">
        <v>37</v>
      </c>
      <c r="C29" s="12"/>
      <c r="D29" s="2"/>
      <c r="E29" s="2"/>
    </row>
    <row r="30" spans="1:5">
      <c r="A30" s="2" t="s">
        <v>40</v>
      </c>
      <c r="B30" s="2"/>
      <c r="C30" s="2"/>
      <c r="D30" s="2" t="s">
        <v>22</v>
      </c>
      <c r="E30" s="8"/>
    </row>
    <row r="31" spans="1:5">
      <c r="A31" s="2" t="s">
        <v>41</v>
      </c>
      <c r="B31" s="2"/>
      <c r="C31" s="2"/>
      <c r="D31" s="2" t="s">
        <v>22</v>
      </c>
      <c r="E31" s="12"/>
    </row>
    <row r="32" spans="1:5">
      <c r="A32" s="2"/>
      <c r="B32" s="2"/>
      <c r="C32" s="2"/>
      <c r="D32" s="2"/>
      <c r="E32" s="2"/>
    </row>
    <row r="33" spans="1:5">
      <c r="A33" s="34" t="s">
        <v>42</v>
      </c>
      <c r="B33" s="34"/>
      <c r="C33" s="34"/>
      <c r="D33" s="34"/>
      <c r="E33" s="34"/>
    </row>
    <row r="34" spans="1:5">
      <c r="A34" s="1" t="s">
        <v>15</v>
      </c>
      <c r="B34" s="1" t="s">
        <v>16</v>
      </c>
      <c r="C34" s="1" t="s">
        <v>17</v>
      </c>
      <c r="D34" s="1" t="s">
        <v>18</v>
      </c>
      <c r="E34" s="1" t="s">
        <v>19</v>
      </c>
    </row>
    <row r="35" spans="1:5">
      <c r="A35" s="2" t="s">
        <v>43</v>
      </c>
      <c r="B35" s="2" t="s">
        <v>44</v>
      </c>
      <c r="C35" s="7"/>
      <c r="D35" s="2" t="s">
        <v>45</v>
      </c>
      <c r="E35" s="8"/>
    </row>
    <row r="36" spans="1:5">
      <c r="A36" s="2" t="s">
        <v>46</v>
      </c>
      <c r="B36" s="2" t="s">
        <v>44</v>
      </c>
      <c r="C36" s="9"/>
      <c r="D36" s="2" t="s">
        <v>45</v>
      </c>
      <c r="E36" s="10"/>
    </row>
    <row r="37" spans="1:5">
      <c r="A37" s="2" t="s">
        <v>47</v>
      </c>
      <c r="B37" s="2" t="s">
        <v>48</v>
      </c>
      <c r="C37" s="9"/>
      <c r="D37" s="2" t="s">
        <v>49</v>
      </c>
      <c r="E37" s="10"/>
    </row>
    <row r="38" spans="1:5">
      <c r="A38" s="2" t="s">
        <v>50</v>
      </c>
      <c r="B38" s="2" t="s">
        <v>51</v>
      </c>
      <c r="C38" s="9"/>
      <c r="D38" s="2" t="s">
        <v>52</v>
      </c>
      <c r="E38" s="10"/>
    </row>
    <row r="39" spans="1:5">
      <c r="A39" s="2" t="s">
        <v>53</v>
      </c>
      <c r="B39" s="2" t="s">
        <v>54</v>
      </c>
      <c r="C39" s="11"/>
      <c r="D39" s="2" t="s">
        <v>45</v>
      </c>
      <c r="E39" s="12"/>
    </row>
    <row r="40" spans="1:5">
      <c r="A40" s="2"/>
      <c r="B40" s="2"/>
      <c r="C40" s="2"/>
      <c r="D40" s="2"/>
      <c r="E40" s="2"/>
    </row>
    <row r="41" spans="1:5">
      <c r="A41" s="34" t="s">
        <v>55</v>
      </c>
      <c r="B41" s="34"/>
      <c r="C41" s="34"/>
      <c r="D41" s="34"/>
      <c r="E41" s="34"/>
    </row>
    <row r="42" spans="1:5">
      <c r="A42" s="1" t="s">
        <v>56</v>
      </c>
      <c r="B42" s="1" t="s">
        <v>16</v>
      </c>
      <c r="C42" s="1" t="s">
        <v>57</v>
      </c>
      <c r="D42" s="1" t="s">
        <v>18</v>
      </c>
      <c r="E42" s="1" t="s">
        <v>19</v>
      </c>
    </row>
    <row r="43" spans="1:5">
      <c r="A43" s="2" t="s">
        <v>58</v>
      </c>
      <c r="B43" s="2" t="s">
        <v>59</v>
      </c>
      <c r="C43" s="7"/>
      <c r="D43" s="2" t="s">
        <v>22</v>
      </c>
      <c r="E43" s="8">
        <v>10</v>
      </c>
    </row>
    <row r="44" spans="1:5">
      <c r="A44" s="2" t="s">
        <v>60</v>
      </c>
      <c r="B44" s="2" t="s">
        <v>59</v>
      </c>
      <c r="C44" s="9"/>
      <c r="D44" s="2" t="s">
        <v>22</v>
      </c>
      <c r="E44" s="10"/>
    </row>
    <row r="45" spans="1:5">
      <c r="A45" s="2" t="s">
        <v>61</v>
      </c>
      <c r="B45" s="2" t="s">
        <v>59</v>
      </c>
      <c r="C45" s="9"/>
      <c r="D45" s="2" t="s">
        <v>22</v>
      </c>
      <c r="E45" s="10"/>
    </row>
    <row r="46" spans="1:5">
      <c r="A46" s="2" t="s">
        <v>62</v>
      </c>
      <c r="B46" s="2" t="s">
        <v>59</v>
      </c>
      <c r="C46" s="9"/>
      <c r="D46" s="2" t="s">
        <v>22</v>
      </c>
      <c r="E46" s="10"/>
    </row>
    <row r="47" spans="1:5">
      <c r="A47" s="2" t="s">
        <v>63</v>
      </c>
      <c r="B47" s="2" t="s">
        <v>59</v>
      </c>
      <c r="C47" s="11"/>
      <c r="D47" s="2" t="s">
        <v>22</v>
      </c>
      <c r="E47" s="12"/>
    </row>
    <row r="48" spans="1:5">
      <c r="A48" s="2"/>
      <c r="B48" s="2"/>
      <c r="C48" s="2"/>
      <c r="D48" s="2"/>
      <c r="E48" s="2"/>
    </row>
    <row r="49" spans="1:5">
      <c r="A49" s="34" t="s">
        <v>64</v>
      </c>
      <c r="B49" s="34"/>
      <c r="C49" s="34"/>
      <c r="D49" s="34"/>
      <c r="E49" s="34"/>
    </row>
    <row r="50" spans="1:5">
      <c r="A50" s="1" t="s">
        <v>33</v>
      </c>
      <c r="B50" s="1" t="s">
        <v>34</v>
      </c>
      <c r="C50" s="1" t="s">
        <v>35</v>
      </c>
      <c r="D50" s="1" t="s">
        <v>18</v>
      </c>
      <c r="E50" s="1" t="s">
        <v>19</v>
      </c>
    </row>
    <row r="51" spans="1:5">
      <c r="A51" s="2" t="s">
        <v>65</v>
      </c>
      <c r="B51" s="2" t="s">
        <v>37</v>
      </c>
      <c r="C51" s="8"/>
      <c r="D51" s="2" t="s">
        <v>66</v>
      </c>
      <c r="E51" s="8"/>
    </row>
    <row r="52" spans="1:5">
      <c r="A52" s="2" t="s">
        <v>67</v>
      </c>
      <c r="B52" s="2" t="s">
        <v>37</v>
      </c>
      <c r="C52" s="10"/>
      <c r="D52" s="2" t="s">
        <v>66</v>
      </c>
      <c r="E52" s="10"/>
    </row>
    <row r="53" spans="1:5">
      <c r="A53" s="2" t="s">
        <v>68</v>
      </c>
      <c r="B53" s="2" t="s">
        <v>37</v>
      </c>
      <c r="C53" s="10"/>
      <c r="D53" s="2" t="s">
        <v>66</v>
      </c>
      <c r="E53" s="12"/>
    </row>
    <row r="54" spans="1:5" ht="28">
      <c r="A54" s="2" t="s">
        <v>192</v>
      </c>
      <c r="B54" s="2" t="s">
        <v>29</v>
      </c>
      <c r="C54" s="9"/>
      <c r="D54" s="2"/>
      <c r="E54" s="2"/>
    </row>
    <row r="55" spans="1:5" ht="28">
      <c r="A55" s="2" t="s">
        <v>193</v>
      </c>
      <c r="B55" s="2" t="s">
        <v>29</v>
      </c>
      <c r="C55" s="9"/>
      <c r="D55" s="2"/>
      <c r="E55" s="2"/>
    </row>
    <row r="56" spans="1:5">
      <c r="A56" s="2" t="s">
        <v>69</v>
      </c>
      <c r="B56" s="2" t="s">
        <v>29</v>
      </c>
      <c r="C56" s="11"/>
      <c r="D56" s="2"/>
      <c r="E56" s="2"/>
    </row>
    <row r="57" spans="1:5">
      <c r="A57" s="2" t="s">
        <v>70</v>
      </c>
      <c r="B57" s="2"/>
      <c r="C57" s="13"/>
      <c r="D57" s="2" t="s">
        <v>66</v>
      </c>
      <c r="E57" s="14"/>
    </row>
    <row r="58" spans="1:5">
      <c r="A58" s="2"/>
      <c r="B58" s="2"/>
      <c r="C58" s="2"/>
      <c r="D58" s="2"/>
      <c r="E58" s="2"/>
    </row>
    <row r="59" spans="1:5">
      <c r="A59" s="34" t="s">
        <v>71</v>
      </c>
      <c r="B59" s="34"/>
      <c r="C59" s="34"/>
      <c r="D59" s="34"/>
      <c r="E59" s="34"/>
    </row>
    <row r="60" spans="1:5">
      <c r="A60" s="1" t="s">
        <v>56</v>
      </c>
      <c r="B60" s="1" t="s">
        <v>72</v>
      </c>
      <c r="C60" s="1" t="s">
        <v>73</v>
      </c>
      <c r="D60" s="1" t="s">
        <v>18</v>
      </c>
      <c r="E60" s="1" t="s">
        <v>74</v>
      </c>
    </row>
    <row r="61" spans="1:5">
      <c r="A61" s="2" t="s">
        <v>58</v>
      </c>
      <c r="B61" s="2" t="s">
        <v>29</v>
      </c>
      <c r="C61" s="7"/>
      <c r="D61" s="2" t="s">
        <v>75</v>
      </c>
      <c r="E61" s="8"/>
    </row>
    <row r="62" spans="1:5">
      <c r="A62" s="2" t="s">
        <v>60</v>
      </c>
      <c r="B62" s="2" t="s">
        <v>29</v>
      </c>
      <c r="C62" s="9"/>
      <c r="D62" s="2" t="s">
        <v>75</v>
      </c>
      <c r="E62" s="10"/>
    </row>
    <row r="63" spans="1:5">
      <c r="A63" s="2" t="s">
        <v>61</v>
      </c>
      <c r="B63" s="2" t="s">
        <v>29</v>
      </c>
      <c r="C63" s="9"/>
      <c r="D63" s="2" t="s">
        <v>76</v>
      </c>
      <c r="E63" s="10"/>
    </row>
    <row r="64" spans="1:5">
      <c r="A64" s="2" t="s">
        <v>62</v>
      </c>
      <c r="B64" s="2" t="s">
        <v>29</v>
      </c>
      <c r="C64" s="11"/>
      <c r="D64" s="2" t="s">
        <v>76</v>
      </c>
      <c r="E64" s="12"/>
    </row>
    <row r="65" spans="1:5">
      <c r="A65" s="2"/>
      <c r="B65" s="2"/>
      <c r="C65" s="2"/>
      <c r="D65" s="2"/>
      <c r="E65" s="2"/>
    </row>
    <row r="66" spans="1:5">
      <c r="A66" s="34" t="s">
        <v>77</v>
      </c>
      <c r="B66" s="34"/>
      <c r="C66" s="34"/>
      <c r="D66" s="34"/>
      <c r="E66" s="34"/>
    </row>
    <row r="67" spans="1:5" ht="28">
      <c r="A67" s="1" t="s">
        <v>78</v>
      </c>
      <c r="B67" s="1" t="s">
        <v>79</v>
      </c>
      <c r="C67" s="1" t="s">
        <v>80</v>
      </c>
      <c r="D67" s="1" t="s">
        <v>18</v>
      </c>
      <c r="E67" s="1" t="s">
        <v>19</v>
      </c>
    </row>
    <row r="68" spans="1:5">
      <c r="A68" s="2" t="s">
        <v>81</v>
      </c>
      <c r="B68" s="2" t="s">
        <v>29</v>
      </c>
      <c r="C68" s="7"/>
      <c r="D68" s="2" t="s">
        <v>82</v>
      </c>
      <c r="E68" s="8"/>
    </row>
    <row r="69" spans="1:5">
      <c r="A69" s="2" t="s">
        <v>83</v>
      </c>
      <c r="B69" s="2" t="s">
        <v>29</v>
      </c>
      <c r="C69" s="9"/>
      <c r="D69" s="2" t="s">
        <v>82</v>
      </c>
      <c r="E69" s="10"/>
    </row>
    <row r="70" spans="1:5">
      <c r="A70" s="2" t="s">
        <v>84</v>
      </c>
      <c r="B70" s="2" t="s">
        <v>29</v>
      </c>
      <c r="C70" s="9"/>
      <c r="D70" s="2" t="s">
        <v>82</v>
      </c>
      <c r="E70" s="10"/>
    </row>
    <row r="71" spans="1:5">
      <c r="A71" s="2" t="s">
        <v>85</v>
      </c>
      <c r="B71" s="2" t="s">
        <v>29</v>
      </c>
      <c r="C71" s="9"/>
      <c r="D71" s="2" t="s">
        <v>82</v>
      </c>
      <c r="E71" s="10"/>
    </row>
    <row r="72" spans="1:5">
      <c r="A72" s="2" t="s">
        <v>86</v>
      </c>
      <c r="B72" s="2" t="s">
        <v>29</v>
      </c>
      <c r="C72" s="9"/>
      <c r="D72" s="2" t="s">
        <v>82</v>
      </c>
      <c r="E72" s="10"/>
    </row>
    <row r="73" spans="1:5">
      <c r="A73" s="2" t="s">
        <v>87</v>
      </c>
      <c r="B73" s="2" t="s">
        <v>29</v>
      </c>
      <c r="C73" s="9"/>
      <c r="D73" s="2" t="s">
        <v>82</v>
      </c>
      <c r="E73" s="10"/>
    </row>
    <row r="74" spans="1:5">
      <c r="A74" s="2" t="s">
        <v>88</v>
      </c>
      <c r="B74" s="2" t="s">
        <v>29</v>
      </c>
      <c r="C74" s="9"/>
      <c r="D74" s="2" t="s">
        <v>82</v>
      </c>
      <c r="E74" s="10"/>
    </row>
    <row r="75" spans="1:5">
      <c r="A75" s="2" t="s">
        <v>89</v>
      </c>
      <c r="B75" s="2" t="s">
        <v>29</v>
      </c>
      <c r="C75" s="9"/>
      <c r="D75" s="2" t="s">
        <v>82</v>
      </c>
      <c r="E75" s="10"/>
    </row>
    <row r="76" spans="1:5">
      <c r="A76" s="2" t="s">
        <v>90</v>
      </c>
      <c r="B76" s="2" t="s">
        <v>29</v>
      </c>
      <c r="C76" s="9"/>
      <c r="D76" s="2" t="s">
        <v>82</v>
      </c>
      <c r="E76" s="10"/>
    </row>
    <row r="77" spans="1:5">
      <c r="A77" s="2" t="s">
        <v>91</v>
      </c>
      <c r="B77" s="2" t="s">
        <v>29</v>
      </c>
      <c r="C77" s="9"/>
      <c r="D77" s="2" t="s">
        <v>82</v>
      </c>
      <c r="E77" s="10"/>
    </row>
    <row r="78" spans="1:5">
      <c r="A78" s="2" t="s">
        <v>92</v>
      </c>
      <c r="B78" s="2" t="s">
        <v>29</v>
      </c>
      <c r="C78" s="9"/>
      <c r="D78" s="2" t="s">
        <v>82</v>
      </c>
      <c r="E78" s="10"/>
    </row>
    <row r="79" spans="1:5">
      <c r="A79" s="2" t="s">
        <v>93</v>
      </c>
      <c r="B79" s="2" t="s">
        <v>29</v>
      </c>
      <c r="C79" s="9"/>
      <c r="D79" s="2" t="s">
        <v>82</v>
      </c>
      <c r="E79" s="10"/>
    </row>
    <row r="80" spans="1:5">
      <c r="A80" s="2" t="s">
        <v>61</v>
      </c>
      <c r="B80" s="2" t="s">
        <v>29</v>
      </c>
      <c r="C80" s="9"/>
      <c r="D80" s="2" t="s">
        <v>82</v>
      </c>
      <c r="E80" s="10"/>
    </row>
    <row r="81" spans="1:5">
      <c r="A81" s="2" t="s">
        <v>62</v>
      </c>
      <c r="B81" s="2" t="s">
        <v>29</v>
      </c>
      <c r="C81" s="9"/>
      <c r="D81" s="2" t="s">
        <v>82</v>
      </c>
      <c r="E81" s="10"/>
    </row>
    <row r="82" spans="1:5">
      <c r="A82" s="2" t="s">
        <v>63</v>
      </c>
      <c r="B82" s="2" t="s">
        <v>29</v>
      </c>
      <c r="C82" s="9"/>
      <c r="D82" s="2" t="s">
        <v>82</v>
      </c>
      <c r="E82" s="10"/>
    </row>
    <row r="83" spans="1:5">
      <c r="A83" s="2" t="s">
        <v>94</v>
      </c>
      <c r="B83" s="2" t="s">
        <v>29</v>
      </c>
      <c r="C83" s="9"/>
      <c r="D83" s="2" t="s">
        <v>82</v>
      </c>
      <c r="E83" s="10"/>
    </row>
    <row r="84" spans="1:5">
      <c r="A84" s="2" t="s">
        <v>95</v>
      </c>
      <c r="B84" s="2" t="s">
        <v>29</v>
      </c>
      <c r="C84" s="9"/>
      <c r="D84" s="2" t="s">
        <v>82</v>
      </c>
      <c r="E84" s="10"/>
    </row>
    <row r="85" spans="1:5">
      <c r="A85" s="2" t="s">
        <v>96</v>
      </c>
      <c r="B85" s="2" t="s">
        <v>29</v>
      </c>
      <c r="C85" s="9"/>
      <c r="D85" s="2" t="s">
        <v>82</v>
      </c>
      <c r="E85" s="10"/>
    </row>
    <row r="86" spans="1:5">
      <c r="A86" s="2" t="s">
        <v>97</v>
      </c>
      <c r="B86" s="2" t="s">
        <v>29</v>
      </c>
      <c r="C86" s="9"/>
      <c r="D86" s="2" t="s">
        <v>82</v>
      </c>
      <c r="E86" s="10"/>
    </row>
    <row r="87" spans="1:5">
      <c r="A87" s="2" t="s">
        <v>98</v>
      </c>
      <c r="B87" s="2" t="s">
        <v>29</v>
      </c>
      <c r="C87" s="9"/>
      <c r="D87" s="2" t="s">
        <v>82</v>
      </c>
      <c r="E87" s="10"/>
    </row>
    <row r="88" spans="1:5">
      <c r="A88" s="2" t="s">
        <v>99</v>
      </c>
      <c r="B88" s="2" t="s">
        <v>29</v>
      </c>
      <c r="C88" s="9"/>
      <c r="D88" s="2" t="s">
        <v>82</v>
      </c>
      <c r="E88" s="10"/>
    </row>
    <row r="89" spans="1:5">
      <c r="A89" s="2" t="s">
        <v>100</v>
      </c>
      <c r="B89" s="2" t="s">
        <v>29</v>
      </c>
      <c r="C89" s="9"/>
      <c r="D89" s="2" t="s">
        <v>82</v>
      </c>
      <c r="E89" s="10"/>
    </row>
    <row r="90" spans="1:5">
      <c r="A90" s="2" t="s">
        <v>101</v>
      </c>
      <c r="B90" s="2" t="s">
        <v>29</v>
      </c>
      <c r="C90" s="11"/>
      <c r="D90" s="2" t="s">
        <v>82</v>
      </c>
      <c r="E90" s="12"/>
    </row>
  </sheetData>
  <mergeCells count="11">
    <mergeCell ref="A66:E66"/>
    <mergeCell ref="A25:E25"/>
    <mergeCell ref="A33:E33"/>
    <mergeCell ref="A41:E41"/>
    <mergeCell ref="A49:E49"/>
    <mergeCell ref="A59:E59"/>
    <mergeCell ref="A1:E1"/>
    <mergeCell ref="A4:E4"/>
    <mergeCell ref="A13:E13"/>
    <mergeCell ref="A20:E20"/>
    <mergeCell ref="A2:E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9"/>
  <sheetViews>
    <sheetView topLeftCell="A23" workbookViewId="0">
      <selection activeCell="F33" sqref="F33:F38"/>
    </sheetView>
  </sheetViews>
  <sheetFormatPr defaultRowHeight="14"/>
  <cols>
    <col min="1" max="1" width="18" customWidth="1"/>
    <col min="2" max="2" width="28" customWidth="1"/>
    <col min="3" max="3" width="15" customWidth="1"/>
    <col min="4" max="4" width="18" customWidth="1"/>
    <col min="5" max="7" width="16" customWidth="1"/>
  </cols>
  <sheetData>
    <row r="1" spans="1:7" ht="20">
      <c r="A1" s="36" t="s">
        <v>111</v>
      </c>
      <c r="B1" s="36"/>
      <c r="C1" s="36"/>
      <c r="D1" s="36"/>
      <c r="E1" s="2"/>
      <c r="F1" s="2"/>
      <c r="G1" s="2"/>
    </row>
    <row r="2" spans="1:7">
      <c r="A2" s="2"/>
      <c r="B2" s="2"/>
      <c r="C2" s="2"/>
      <c r="D2" s="2"/>
      <c r="E2" s="2"/>
      <c r="F2" s="2"/>
      <c r="G2" s="2"/>
    </row>
    <row r="3" spans="1:7">
      <c r="A3" s="1" t="s">
        <v>112</v>
      </c>
      <c r="B3" s="1" t="s">
        <v>113</v>
      </c>
      <c r="C3" s="1" t="s">
        <v>35</v>
      </c>
      <c r="D3" s="1" t="s">
        <v>114</v>
      </c>
      <c r="E3" s="2"/>
      <c r="F3" s="2"/>
      <c r="G3" s="2"/>
    </row>
    <row r="4" spans="1:7">
      <c r="A4" s="2" t="s">
        <v>115</v>
      </c>
      <c r="B4" s="2" t="s">
        <v>116</v>
      </c>
      <c r="C4" s="15">
        <v>0.79</v>
      </c>
      <c r="D4" s="2" t="s">
        <v>117</v>
      </c>
      <c r="E4" s="2"/>
      <c r="F4" s="2"/>
      <c r="G4" s="2"/>
    </row>
    <row r="5" spans="1:7">
      <c r="A5" s="2" t="s">
        <v>115</v>
      </c>
      <c r="B5" s="2" t="s">
        <v>118</v>
      </c>
      <c r="C5" s="6">
        <v>0.79</v>
      </c>
      <c r="D5" s="2" t="s">
        <v>117</v>
      </c>
      <c r="E5" s="2"/>
      <c r="F5" s="2"/>
      <c r="G5" s="2"/>
    </row>
    <row r="6" spans="1:7">
      <c r="A6" s="2" t="s">
        <v>119</v>
      </c>
      <c r="B6" s="2" t="s">
        <v>120</v>
      </c>
      <c r="C6" s="6">
        <v>0.2001</v>
      </c>
      <c r="D6" s="2" t="s">
        <v>117</v>
      </c>
      <c r="E6" s="2"/>
      <c r="F6" s="2"/>
      <c r="G6" s="2"/>
    </row>
    <row r="7" spans="1:7">
      <c r="A7" s="2" t="s">
        <v>119</v>
      </c>
      <c r="B7" s="2" t="s">
        <v>121</v>
      </c>
      <c r="C7" s="6">
        <v>0.33333333333333331</v>
      </c>
      <c r="D7" s="2" t="s">
        <v>117</v>
      </c>
      <c r="E7" s="2"/>
      <c r="F7" s="2"/>
      <c r="G7" s="2"/>
    </row>
    <row r="8" spans="1:7">
      <c r="A8" s="2" t="s">
        <v>119</v>
      </c>
      <c r="B8" s="2" t="s">
        <v>122</v>
      </c>
      <c r="C8" s="6">
        <v>0.5</v>
      </c>
      <c r="D8" s="2" t="s">
        <v>117</v>
      </c>
      <c r="E8" s="2"/>
      <c r="F8" s="2"/>
      <c r="G8" s="2"/>
    </row>
    <row r="9" spans="1:7">
      <c r="A9" s="2" t="s">
        <v>119</v>
      </c>
      <c r="B9" s="2" t="s">
        <v>123</v>
      </c>
      <c r="C9" s="6">
        <v>0.5</v>
      </c>
      <c r="D9" s="2" t="s">
        <v>117</v>
      </c>
      <c r="E9" s="2"/>
      <c r="F9" s="2"/>
      <c r="G9" s="2"/>
    </row>
    <row r="10" spans="1:7">
      <c r="A10" s="2" t="s">
        <v>119</v>
      </c>
      <c r="B10" s="2" t="s">
        <v>124</v>
      </c>
      <c r="C10" s="6">
        <v>0.625</v>
      </c>
      <c r="D10" s="2" t="s">
        <v>117</v>
      </c>
      <c r="E10" s="2"/>
      <c r="F10" s="2"/>
      <c r="G10" s="2"/>
    </row>
    <row r="11" spans="1:7">
      <c r="A11" s="2" t="s">
        <v>105</v>
      </c>
      <c r="B11" s="2" t="s">
        <v>125</v>
      </c>
      <c r="C11" s="16">
        <v>1.78</v>
      </c>
      <c r="D11" s="2" t="s">
        <v>126</v>
      </c>
      <c r="E11" s="2"/>
      <c r="F11" s="2"/>
      <c r="G11" s="2"/>
    </row>
    <row r="12" spans="1:7">
      <c r="A12" s="2" t="s">
        <v>105</v>
      </c>
      <c r="B12" s="2" t="s">
        <v>127</v>
      </c>
      <c r="C12" s="6">
        <v>0.85</v>
      </c>
      <c r="D12" s="2" t="s">
        <v>117</v>
      </c>
      <c r="E12" s="2"/>
      <c r="F12" s="2"/>
      <c r="G12" s="2"/>
    </row>
    <row r="13" spans="1:7">
      <c r="A13" s="2" t="s">
        <v>105</v>
      </c>
      <c r="B13" s="2" t="s">
        <v>128</v>
      </c>
      <c r="C13" s="6">
        <v>0.15</v>
      </c>
      <c r="D13" s="2" t="s">
        <v>117</v>
      </c>
      <c r="E13" s="2"/>
      <c r="F13" s="2"/>
      <c r="G13" s="2"/>
    </row>
    <row r="14" spans="1:7">
      <c r="A14" s="2" t="s">
        <v>105</v>
      </c>
      <c r="B14" s="2" t="s">
        <v>129</v>
      </c>
      <c r="C14" s="6">
        <v>0.4</v>
      </c>
      <c r="D14" s="2" t="s">
        <v>117</v>
      </c>
      <c r="E14" s="2"/>
      <c r="F14" s="2"/>
      <c r="G14" s="2"/>
    </row>
    <row r="15" spans="1:7">
      <c r="A15" s="2" t="s">
        <v>105</v>
      </c>
      <c r="B15" s="2" t="s">
        <v>130</v>
      </c>
      <c r="C15" s="16">
        <v>0.3</v>
      </c>
      <c r="D15" s="2" t="s">
        <v>131</v>
      </c>
      <c r="E15" s="2"/>
      <c r="F15" s="2"/>
      <c r="G15" s="2"/>
    </row>
    <row r="16" spans="1:7">
      <c r="A16" s="2" t="s">
        <v>105</v>
      </c>
      <c r="B16" s="2" t="s">
        <v>132</v>
      </c>
      <c r="C16" s="16">
        <v>0.8</v>
      </c>
      <c r="D16" s="2" t="s">
        <v>131</v>
      </c>
      <c r="E16" s="2"/>
      <c r="F16" s="2"/>
      <c r="G16" s="2"/>
    </row>
    <row r="17" spans="1:8">
      <c r="A17" s="2" t="s">
        <v>133</v>
      </c>
      <c r="B17" s="2" t="s">
        <v>134</v>
      </c>
      <c r="C17" s="6">
        <v>0.94</v>
      </c>
      <c r="D17" s="2" t="s">
        <v>117</v>
      </c>
      <c r="E17" s="2"/>
      <c r="F17" s="2"/>
      <c r="G17" s="2"/>
    </row>
    <row r="18" spans="1:8">
      <c r="A18" s="2" t="s">
        <v>135</v>
      </c>
      <c r="B18" s="2" t="s">
        <v>136</v>
      </c>
      <c r="C18" s="6">
        <v>5.8799999999999998E-2</v>
      </c>
      <c r="D18" s="2" t="s">
        <v>117</v>
      </c>
      <c r="E18" s="2"/>
      <c r="F18" s="2"/>
      <c r="G18" s="2"/>
    </row>
    <row r="19" spans="1:8">
      <c r="A19" s="2" t="s">
        <v>135</v>
      </c>
      <c r="B19" s="2" t="s">
        <v>137</v>
      </c>
      <c r="C19" s="6">
        <v>0.1065</v>
      </c>
      <c r="D19" s="2" t="s">
        <v>117</v>
      </c>
      <c r="E19" s="2"/>
      <c r="F19" s="2"/>
      <c r="G19" s="2"/>
    </row>
    <row r="20" spans="1:8">
      <c r="A20" s="2" t="s">
        <v>135</v>
      </c>
      <c r="B20" s="2" t="s">
        <v>138</v>
      </c>
      <c r="C20" s="6">
        <v>6.8500000000000005E-2</v>
      </c>
      <c r="D20" s="2" t="s">
        <v>117</v>
      </c>
      <c r="E20" s="2"/>
      <c r="F20" s="2"/>
      <c r="G20" s="2"/>
    </row>
    <row r="21" spans="1:8">
      <c r="A21" s="2" t="s">
        <v>135</v>
      </c>
      <c r="B21" s="2" t="s">
        <v>139</v>
      </c>
      <c r="C21" s="6">
        <v>6.6799999999999998E-2</v>
      </c>
      <c r="D21" s="2" t="s">
        <v>117</v>
      </c>
      <c r="E21" s="2"/>
      <c r="F21" s="2"/>
      <c r="G21" s="2"/>
    </row>
    <row r="22" spans="1:8">
      <c r="A22" s="2" t="s">
        <v>140</v>
      </c>
      <c r="B22" s="2" t="s">
        <v>141</v>
      </c>
      <c r="C22" s="17">
        <v>0.28799999999999998</v>
      </c>
      <c r="D22" s="2" t="s">
        <v>142</v>
      </c>
      <c r="E22" s="2"/>
      <c r="F22" s="2"/>
      <c r="G22" s="2"/>
    </row>
    <row r="23" spans="1:8">
      <c r="A23" s="2"/>
      <c r="B23" s="2"/>
      <c r="C23" s="2"/>
      <c r="D23" s="2"/>
      <c r="E23" s="2"/>
      <c r="F23" s="2"/>
      <c r="G23" s="2"/>
    </row>
    <row r="24" spans="1:8">
      <c r="A24" s="2"/>
      <c r="B24" s="2"/>
      <c r="C24" s="2"/>
      <c r="D24" s="2"/>
      <c r="E24" s="2"/>
      <c r="F24" s="2"/>
      <c r="G24" s="2"/>
    </row>
    <row r="25" spans="1:8">
      <c r="A25" s="34" t="s">
        <v>143</v>
      </c>
      <c r="B25" s="34"/>
      <c r="C25" s="34"/>
      <c r="D25" s="34"/>
      <c r="E25" s="34"/>
      <c r="F25" s="34"/>
      <c r="G25" s="34"/>
    </row>
    <row r="26" spans="1:8" ht="42">
      <c r="A26" s="1" t="s">
        <v>56</v>
      </c>
      <c r="B26" s="1" t="s">
        <v>144</v>
      </c>
      <c r="C26" s="1" t="s">
        <v>145</v>
      </c>
      <c r="D26" s="1" t="s">
        <v>146</v>
      </c>
      <c r="E26" s="1" t="s">
        <v>148</v>
      </c>
      <c r="F26" s="1" t="s">
        <v>149</v>
      </c>
      <c r="G26" s="1" t="s">
        <v>150</v>
      </c>
      <c r="H26" s="1" t="s">
        <v>147</v>
      </c>
    </row>
    <row r="27" spans="1:8">
      <c r="A27" s="2" t="s">
        <v>58</v>
      </c>
      <c r="B27" s="18">
        <v>2.69E-2</v>
      </c>
      <c r="C27" s="19">
        <v>2.24E-2</v>
      </c>
      <c r="D27" s="19">
        <v>2.07E-2</v>
      </c>
      <c r="E27" s="19">
        <v>8.0000000000000002E-3</v>
      </c>
      <c r="F27" s="19">
        <v>0.06</v>
      </c>
      <c r="G27" s="20">
        <v>3.8E-3</v>
      </c>
      <c r="H27" s="19">
        <v>1.9300000000000001E-2</v>
      </c>
    </row>
    <row r="28" spans="1:8">
      <c r="A28" s="2" t="s">
        <v>60</v>
      </c>
      <c r="B28" s="21">
        <v>1.3100000000000001E-2</v>
      </c>
      <c r="C28" s="22">
        <v>2.3699999999999999E-2</v>
      </c>
      <c r="D28" s="22">
        <v>1.9199999999999998E-2</v>
      </c>
      <c r="E28" s="22">
        <v>4.6300000000000001E-2</v>
      </c>
      <c r="F28" s="22">
        <v>3.39E-2</v>
      </c>
      <c r="G28" s="23">
        <v>3.2000000000000002E-3</v>
      </c>
      <c r="H28" s="22">
        <v>2.2200000000000001E-2</v>
      </c>
    </row>
    <row r="29" spans="1:8">
      <c r="A29" s="2" t="s">
        <v>61</v>
      </c>
      <c r="B29" s="21">
        <v>7.1800000000000003E-2</v>
      </c>
      <c r="C29" s="22">
        <v>5.3800000000000001E-2</v>
      </c>
      <c r="D29" s="22">
        <v>2.7300000000000001E-2</v>
      </c>
      <c r="E29" s="22">
        <v>2.1600000000000001E-2</v>
      </c>
      <c r="F29" s="22">
        <v>3.3700000000000001E-2</v>
      </c>
      <c r="G29" s="23">
        <v>1.6899999999999998E-2</v>
      </c>
      <c r="H29" s="22">
        <v>3.2300000000000002E-2</v>
      </c>
    </row>
    <row r="30" spans="1:8">
      <c r="A30" s="2" t="s">
        <v>62</v>
      </c>
      <c r="B30" s="21">
        <v>6.7199999999999996E-2</v>
      </c>
      <c r="C30" s="22">
        <v>6.3299999999999995E-2</v>
      </c>
      <c r="D30" s="22">
        <v>2.98E-2</v>
      </c>
      <c r="E30" s="22">
        <v>0</v>
      </c>
      <c r="F30" s="22">
        <v>0</v>
      </c>
      <c r="G30" s="23">
        <v>0</v>
      </c>
      <c r="H30" s="22">
        <v>3.6999999999999998E-2</v>
      </c>
    </row>
    <row r="31" spans="1:8">
      <c r="A31" s="2" t="s">
        <v>63</v>
      </c>
      <c r="B31" s="24">
        <v>3.6600000000000001E-2</v>
      </c>
      <c r="C31" s="25">
        <v>2.1100000000000001E-2</v>
      </c>
      <c r="D31" s="25">
        <v>2.58E-2</v>
      </c>
      <c r="E31" s="25">
        <v>2.1999999999999999E-2</v>
      </c>
      <c r="F31" s="25">
        <v>3.9300000000000002E-2</v>
      </c>
      <c r="G31" s="26">
        <v>2.1600000000000001E-2</v>
      </c>
      <c r="H31" s="25">
        <v>0</v>
      </c>
    </row>
    <row r="32" spans="1:8">
      <c r="A32" s="2"/>
      <c r="B32" s="2"/>
      <c r="C32" s="2"/>
      <c r="D32" s="2"/>
      <c r="E32" s="2"/>
      <c r="F32" s="2"/>
      <c r="G32" s="2"/>
    </row>
    <row r="33" spans="1:7">
      <c r="A33" s="1" t="s">
        <v>56</v>
      </c>
      <c r="B33" s="1" t="s">
        <v>151</v>
      </c>
      <c r="C33" s="1" t="s">
        <v>152</v>
      </c>
      <c r="D33" s="1" t="s">
        <v>153</v>
      </c>
      <c r="E33" s="1" t="s">
        <v>155</v>
      </c>
      <c r="F33" s="1" t="s">
        <v>153</v>
      </c>
      <c r="G33" s="2"/>
    </row>
    <row r="34" spans="1:7">
      <c r="A34" s="2" t="s">
        <v>58</v>
      </c>
      <c r="B34" s="18">
        <v>2.3999999999999998E-3</v>
      </c>
      <c r="C34" s="19">
        <v>3.0300000000000001E-2</v>
      </c>
      <c r="D34" s="19">
        <v>2.3E-2</v>
      </c>
      <c r="E34" s="20">
        <v>1.6E-2</v>
      </c>
      <c r="F34" s="19">
        <v>2.3E-2</v>
      </c>
      <c r="G34" s="2"/>
    </row>
    <row r="35" spans="1:7">
      <c r="A35" s="2" t="s">
        <v>60</v>
      </c>
      <c r="B35" s="21">
        <v>1.2999999999999999E-3</v>
      </c>
      <c r="C35" s="22">
        <v>4.8899999999999999E-2</v>
      </c>
      <c r="D35" s="22">
        <v>5.2999999999999999E-2</v>
      </c>
      <c r="E35" s="23">
        <v>1.6E-2</v>
      </c>
      <c r="F35" s="22">
        <v>5.2999999999999999E-2</v>
      </c>
      <c r="G35" s="2"/>
    </row>
    <row r="36" spans="1:7">
      <c r="A36" s="2" t="s">
        <v>61</v>
      </c>
      <c r="B36" s="21">
        <v>0</v>
      </c>
      <c r="C36" s="22">
        <v>0</v>
      </c>
      <c r="D36" s="22">
        <v>0</v>
      </c>
      <c r="E36" s="23">
        <v>0</v>
      </c>
      <c r="F36" s="22">
        <v>0</v>
      </c>
      <c r="G36" s="2"/>
    </row>
    <row r="37" spans="1:7">
      <c r="A37" s="2" t="s">
        <v>62</v>
      </c>
      <c r="B37" s="21">
        <v>0</v>
      </c>
      <c r="C37" s="22">
        <v>0</v>
      </c>
      <c r="D37" s="22">
        <v>0</v>
      </c>
      <c r="E37" s="23">
        <v>0</v>
      </c>
      <c r="F37" s="22">
        <v>0</v>
      </c>
      <c r="G37" s="2"/>
    </row>
    <row r="38" spans="1:7">
      <c r="A38" s="2" t="s">
        <v>63</v>
      </c>
      <c r="B38" s="24">
        <v>0</v>
      </c>
      <c r="C38" s="25">
        <v>0</v>
      </c>
      <c r="D38" s="25">
        <v>0</v>
      </c>
      <c r="E38" s="26">
        <v>0</v>
      </c>
      <c r="F38" s="25">
        <v>0</v>
      </c>
      <c r="G38" s="2"/>
    </row>
    <row r="39" spans="1:7">
      <c r="A39" s="2"/>
      <c r="B39" s="2"/>
      <c r="C39" s="2"/>
      <c r="D39" s="2"/>
      <c r="E39" s="2"/>
      <c r="F39" s="2"/>
      <c r="G39" s="2"/>
    </row>
  </sheetData>
  <mergeCells count="2">
    <mergeCell ref="A1:D1"/>
    <mergeCell ref="A25:G2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0"/>
  <sheetViews>
    <sheetView topLeftCell="A82" workbookViewId="0">
      <selection activeCell="E98" sqref="E98"/>
    </sheetView>
  </sheetViews>
  <sheetFormatPr defaultRowHeight="14"/>
  <cols>
    <col min="1" max="1" width="18" customWidth="1"/>
    <col min="2" max="2" width="32" customWidth="1"/>
    <col min="3" max="3" width="18" customWidth="1"/>
    <col min="4" max="4" width="16" customWidth="1"/>
    <col min="5" max="5" width="18" customWidth="1"/>
  </cols>
  <sheetData>
    <row r="1" spans="1:5" ht="20">
      <c r="A1" s="36" t="s">
        <v>195</v>
      </c>
      <c r="B1" s="36"/>
      <c r="C1" s="36"/>
      <c r="D1" s="36"/>
      <c r="E1" s="36"/>
    </row>
    <row r="2" spans="1:5">
      <c r="A2" s="2"/>
      <c r="B2" s="2"/>
      <c r="C2" s="2"/>
      <c r="D2" s="2"/>
      <c r="E2" s="2"/>
    </row>
    <row r="3" spans="1:5" ht="28">
      <c r="A3" s="1" t="s">
        <v>156</v>
      </c>
      <c r="B3" s="1" t="s">
        <v>15</v>
      </c>
      <c r="C3" s="1" t="s">
        <v>157</v>
      </c>
      <c r="D3" s="1" t="s">
        <v>19</v>
      </c>
      <c r="E3" s="1" t="s">
        <v>102</v>
      </c>
    </row>
    <row r="4" spans="1:5">
      <c r="A4" s="2" t="s">
        <v>103</v>
      </c>
      <c r="B4" s="2" t="s">
        <v>20</v>
      </c>
      <c r="C4" s="13">
        <f>'Input Values Here'!C15</f>
        <v>0</v>
      </c>
      <c r="D4" s="13">
        <f>'Input Values Here'!E15</f>
        <v>0</v>
      </c>
      <c r="E4" s="27">
        <f>C4*D4/100</f>
        <v>0</v>
      </c>
    </row>
    <row r="5" spans="1:5">
      <c r="A5" s="2" t="s">
        <v>103</v>
      </c>
      <c r="B5" s="2" t="s">
        <v>23</v>
      </c>
      <c r="C5" s="13">
        <f>'Input Values Here'!C16</f>
        <v>0</v>
      </c>
      <c r="D5" s="13">
        <f>'Input Values Here'!E16</f>
        <v>0</v>
      </c>
      <c r="E5" s="27">
        <f>C5*D5/100</f>
        <v>0</v>
      </c>
    </row>
    <row r="6" spans="1:5">
      <c r="A6" s="2" t="s">
        <v>103</v>
      </c>
      <c r="B6" s="2" t="s">
        <v>24</v>
      </c>
      <c r="C6" s="13">
        <f>'Input Values Here'!C17</f>
        <v>0</v>
      </c>
      <c r="D6" s="13">
        <f>'Input Values Here'!E17</f>
        <v>0</v>
      </c>
      <c r="E6" s="27">
        <f>C6*D6/100</f>
        <v>0</v>
      </c>
    </row>
    <row r="7" spans="1:5">
      <c r="A7" s="2" t="s">
        <v>103</v>
      </c>
      <c r="B7" s="2" t="s">
        <v>25</v>
      </c>
      <c r="C7" s="13">
        <f>'Input Values Here'!C18</f>
        <v>0</v>
      </c>
      <c r="D7" s="13">
        <f>'Input Values Here'!E18</f>
        <v>0</v>
      </c>
      <c r="E7" s="27">
        <f>C7*D7/100</f>
        <v>0</v>
      </c>
    </row>
    <row r="8" spans="1:5">
      <c r="A8" s="28"/>
      <c r="B8" s="28" t="s">
        <v>158</v>
      </c>
      <c r="C8" s="32"/>
      <c r="D8" s="32"/>
      <c r="E8" s="29">
        <f>SUM(E4:E7)</f>
        <v>0</v>
      </c>
    </row>
    <row r="9" spans="1:5">
      <c r="A9" s="2"/>
      <c r="B9" s="2"/>
      <c r="C9" s="13"/>
      <c r="D9" s="13"/>
      <c r="E9" s="27"/>
    </row>
    <row r="10" spans="1:5">
      <c r="A10" s="2" t="s">
        <v>104</v>
      </c>
      <c r="B10" s="2" t="s">
        <v>28</v>
      </c>
      <c r="C10" s="13">
        <f>'Input Values Here'!C22*'Ratios Applied'!C4</f>
        <v>0</v>
      </c>
      <c r="D10" s="13">
        <f>'Input Values Here'!E22</f>
        <v>0</v>
      </c>
      <c r="E10" s="27">
        <f>C10*D10/100000</f>
        <v>0</v>
      </c>
    </row>
    <row r="11" spans="1:5">
      <c r="A11" s="2" t="s">
        <v>104</v>
      </c>
      <c r="B11" s="2" t="s">
        <v>31</v>
      </c>
      <c r="C11" s="13">
        <f>'Input Values Here'!C23*'Ratios Applied'!C4</f>
        <v>0</v>
      </c>
      <c r="D11" s="13">
        <f>'Input Values Here'!E23</f>
        <v>0</v>
      </c>
      <c r="E11" s="27">
        <f>C11*D11/100000</f>
        <v>0</v>
      </c>
    </row>
    <row r="12" spans="1:5">
      <c r="A12" s="28"/>
      <c r="B12" s="28" t="s">
        <v>159</v>
      </c>
      <c r="C12" s="32"/>
      <c r="D12" s="32"/>
      <c r="E12" s="29">
        <f>SUM(E10:E11)</f>
        <v>0</v>
      </c>
    </row>
    <row r="13" spans="1:5">
      <c r="A13" s="2"/>
      <c r="B13" s="2"/>
      <c r="C13" s="13"/>
      <c r="D13" s="13"/>
      <c r="E13" s="27"/>
    </row>
    <row r="14" spans="1:5">
      <c r="A14" s="2" t="s">
        <v>105</v>
      </c>
      <c r="B14" s="2" t="s">
        <v>40</v>
      </c>
      <c r="C14" s="13">
        <f>ROUND('Input Values Here'!C27*'Ratios Applied'!C11*'Ratios Applied'!C13*'Ratios Applied'!C14/1000,3)</f>
        <v>0</v>
      </c>
      <c r="D14" s="13">
        <f>'Input Values Here'!E30</f>
        <v>0</v>
      </c>
      <c r="E14" s="27">
        <f>C14*D14/100</f>
        <v>0</v>
      </c>
    </row>
    <row r="15" spans="1:5">
      <c r="A15" s="2" t="s">
        <v>105</v>
      </c>
      <c r="B15" s="2" t="s">
        <v>160</v>
      </c>
      <c r="C15" s="13">
        <f>ROUND('Input Values Here'!C27*'Ratios Applied'!C11*'Ratios Applied'!C12/1000,3)</f>
        <v>0</v>
      </c>
      <c r="D15" s="13">
        <f>'Input Values Here'!E31</f>
        <v>0</v>
      </c>
      <c r="E15" s="27">
        <f>C15*D15/100</f>
        <v>0</v>
      </c>
    </row>
    <row r="16" spans="1:5">
      <c r="A16" s="2" t="s">
        <v>105</v>
      </c>
      <c r="B16" s="2" t="s">
        <v>161</v>
      </c>
      <c r="C16" s="13">
        <f>ROUND((('Input Values Here'!C28*'Ratios Applied'!C15*365/1000)+('Input Values Here'!C29*'Ratios Applied'!C16*365/1000))/1000,2)</f>
        <v>0</v>
      </c>
      <c r="D16" s="13">
        <f>'Input Values Here'!E31</f>
        <v>0</v>
      </c>
      <c r="E16" s="27">
        <f>C16*D16/100</f>
        <v>0</v>
      </c>
    </row>
    <row r="17" spans="1:5">
      <c r="A17" s="28"/>
      <c r="B17" s="28" t="s">
        <v>162</v>
      </c>
      <c r="C17" s="32"/>
      <c r="D17" s="32"/>
      <c r="E17" s="29">
        <f>SUM(E14:E16)</f>
        <v>0</v>
      </c>
    </row>
    <row r="18" spans="1:5">
      <c r="A18" s="2"/>
      <c r="B18" s="2"/>
      <c r="C18" s="13"/>
      <c r="D18" s="13"/>
      <c r="E18" s="27"/>
    </row>
    <row r="19" spans="1:5">
      <c r="A19" s="2" t="s">
        <v>106</v>
      </c>
      <c r="B19" s="2" t="s">
        <v>43</v>
      </c>
      <c r="C19" s="13">
        <f>'Input Values Here'!C35</f>
        <v>0</v>
      </c>
      <c r="D19" s="13">
        <f>'Input Values Here'!E35</f>
        <v>0</v>
      </c>
      <c r="E19" s="27">
        <f>C19*D19/100</f>
        <v>0</v>
      </c>
    </row>
    <row r="20" spans="1:5">
      <c r="A20" s="2" t="s">
        <v>106</v>
      </c>
      <c r="B20" s="2" t="s">
        <v>46</v>
      </c>
      <c r="C20" s="13">
        <f>'Input Values Here'!C36</f>
        <v>0</v>
      </c>
      <c r="D20" s="13">
        <f>'Input Values Here'!E36</f>
        <v>0</v>
      </c>
      <c r="E20" s="27">
        <f>C20*D20/100</f>
        <v>0</v>
      </c>
    </row>
    <row r="21" spans="1:5">
      <c r="A21" s="2" t="s">
        <v>106</v>
      </c>
      <c r="B21" s="2" t="s">
        <v>47</v>
      </c>
      <c r="C21" s="13">
        <f>'Input Values Here'!C37</f>
        <v>0</v>
      </c>
      <c r="D21" s="13">
        <f>'Input Values Here'!E37</f>
        <v>0</v>
      </c>
      <c r="E21" s="27">
        <f>C21*D21/100</f>
        <v>0</v>
      </c>
    </row>
    <row r="22" spans="1:5">
      <c r="A22" s="2" t="s">
        <v>106</v>
      </c>
      <c r="B22" s="2" t="s">
        <v>50</v>
      </c>
      <c r="C22" s="13">
        <f>'Input Values Here'!C38</f>
        <v>0</v>
      </c>
      <c r="D22" s="13">
        <f>'Input Values Here'!E38</f>
        <v>0</v>
      </c>
      <c r="E22" s="27">
        <f>C22*D22/1000</f>
        <v>0</v>
      </c>
    </row>
    <row r="23" spans="1:5">
      <c r="A23" s="2" t="s">
        <v>106</v>
      </c>
      <c r="B23" s="2" t="s">
        <v>53</v>
      </c>
      <c r="C23" s="13">
        <f>'Input Values Here'!C39</f>
        <v>0</v>
      </c>
      <c r="D23" s="13">
        <f>'Input Values Here'!E39</f>
        <v>0</v>
      </c>
      <c r="E23" s="27">
        <f>C23*D23/100000</f>
        <v>0</v>
      </c>
    </row>
    <row r="24" spans="1:5">
      <c r="A24" s="28"/>
      <c r="B24" s="28" t="s">
        <v>163</v>
      </c>
      <c r="C24" s="32"/>
      <c r="D24" s="32"/>
      <c r="E24" s="29">
        <f>SUM(E19:E23)</f>
        <v>0</v>
      </c>
    </row>
    <row r="25" spans="1:5">
      <c r="A25" s="2"/>
      <c r="B25" s="2"/>
      <c r="C25" s="13"/>
      <c r="D25" s="13"/>
      <c r="E25" s="27"/>
    </row>
    <row r="26" spans="1:5">
      <c r="A26" s="2" t="s">
        <v>133</v>
      </c>
      <c r="B26" s="2" t="s">
        <v>58</v>
      </c>
      <c r="C26" s="13">
        <f>'Input Values Here'!C43*'Ratios Applied'!C17</f>
        <v>0</v>
      </c>
      <c r="D26" s="13">
        <f>'Input Values Here'!E43</f>
        <v>10</v>
      </c>
      <c r="E26" s="27">
        <f>C26*D26/1000</f>
        <v>0</v>
      </c>
    </row>
    <row r="27" spans="1:5">
      <c r="A27" s="2" t="s">
        <v>133</v>
      </c>
      <c r="B27" s="2" t="s">
        <v>60</v>
      </c>
      <c r="C27" s="13">
        <f>'Input Values Here'!C44*'Ratios Applied'!C17</f>
        <v>0</v>
      </c>
      <c r="D27" s="13">
        <f>'Input Values Here'!E44</f>
        <v>0</v>
      </c>
      <c r="E27" s="27">
        <f>C27*D27/1000</f>
        <v>0</v>
      </c>
    </row>
    <row r="28" spans="1:5">
      <c r="A28" s="2" t="s">
        <v>133</v>
      </c>
      <c r="B28" s="2" t="s">
        <v>61</v>
      </c>
      <c r="C28" s="13">
        <f>'Input Values Here'!C45*'Ratios Applied'!C17</f>
        <v>0</v>
      </c>
      <c r="D28" s="13">
        <f>'Input Values Here'!E45</f>
        <v>0</v>
      </c>
      <c r="E28" s="27">
        <f>C28*D28/1000</f>
        <v>0</v>
      </c>
    </row>
    <row r="29" spans="1:5">
      <c r="A29" s="2" t="s">
        <v>133</v>
      </c>
      <c r="B29" s="2" t="s">
        <v>62</v>
      </c>
      <c r="C29" s="13">
        <f>'Input Values Here'!C46*'Ratios Applied'!C17</f>
        <v>0</v>
      </c>
      <c r="D29" s="13">
        <f>'Input Values Here'!E46</f>
        <v>0</v>
      </c>
      <c r="E29" s="27">
        <f>C29*D29/1000</f>
        <v>0</v>
      </c>
    </row>
    <row r="30" spans="1:5">
      <c r="A30" s="2" t="s">
        <v>133</v>
      </c>
      <c r="B30" s="2" t="s">
        <v>63</v>
      </c>
      <c r="C30" s="13">
        <f>'Input Values Here'!C47*'Ratios Applied'!C17</f>
        <v>0</v>
      </c>
      <c r="D30" s="13">
        <f>'Input Values Here'!E47</f>
        <v>0</v>
      </c>
      <c r="E30" s="27">
        <f>C30*D30/1000</f>
        <v>0</v>
      </c>
    </row>
    <row r="31" spans="1:5">
      <c r="A31" s="2" t="s">
        <v>133</v>
      </c>
      <c r="B31" s="2" t="s">
        <v>164</v>
      </c>
      <c r="C31" s="13"/>
      <c r="D31" s="13"/>
      <c r="E31" s="27">
        <f>E26*'Ratios Applied'!B27+E27*'Ratios Applied'!B28+E28*'Ratios Applied'!B29+E29*'Ratios Applied'!B30+E30*'Ratios Applied'!B31</f>
        <v>0</v>
      </c>
    </row>
    <row r="32" spans="1:5">
      <c r="A32" s="28"/>
      <c r="B32" s="28" t="s">
        <v>165</v>
      </c>
      <c r="C32" s="32"/>
      <c r="D32" s="32"/>
      <c r="E32" s="29">
        <f>SUM(E26:E31)</f>
        <v>0</v>
      </c>
    </row>
    <row r="33" spans="1:5">
      <c r="A33" s="2"/>
      <c r="B33" s="2"/>
      <c r="C33" s="13"/>
      <c r="D33" s="13"/>
      <c r="E33" s="27"/>
    </row>
    <row r="34" spans="1:5">
      <c r="A34" s="2" t="s">
        <v>166</v>
      </c>
      <c r="B34" s="2" t="s">
        <v>167</v>
      </c>
      <c r="C34" s="13">
        <f>'Input Values Here'!C51/1000*'Ratios Applied'!C8</f>
        <v>0</v>
      </c>
      <c r="D34" s="13">
        <f>'Input Values Here'!E51</f>
        <v>0</v>
      </c>
      <c r="E34" s="27">
        <f>C34*D34/100</f>
        <v>0</v>
      </c>
    </row>
    <row r="35" spans="1:5">
      <c r="A35" s="2" t="s">
        <v>166</v>
      </c>
      <c r="B35" s="2" t="s">
        <v>168</v>
      </c>
      <c r="C35" s="13">
        <f>'Input Values Here'!C52/1000*'Ratios Applied'!C9</f>
        <v>0</v>
      </c>
      <c r="D35" s="13">
        <f>'Input Values Here'!E52</f>
        <v>0</v>
      </c>
      <c r="E35" s="27">
        <f>C35*D35/100</f>
        <v>0</v>
      </c>
    </row>
    <row r="36" spans="1:5">
      <c r="A36" s="2" t="s">
        <v>166</v>
      </c>
      <c r="B36" s="2" t="s">
        <v>169</v>
      </c>
      <c r="C36" s="13">
        <f>'Input Values Here'!C56-((('Input Values Here'!C22+'Input Values Here'!C23)*'Ratios Applied'!C6*'Ratios Applied'!C7)+C34+C35+C37+'Input Values Here'!C54+'Input Values Here'!C55)</f>
        <v>0</v>
      </c>
      <c r="D36" s="13">
        <f>'Input Values Here'!E57</f>
        <v>0</v>
      </c>
      <c r="E36" s="27">
        <f>C36*D36/100</f>
        <v>0</v>
      </c>
    </row>
    <row r="37" spans="1:5">
      <c r="A37" s="2" t="s">
        <v>166</v>
      </c>
      <c r="B37" s="2" t="s">
        <v>170</v>
      </c>
      <c r="C37" s="13">
        <f>'Input Values Here'!C53/1000*(1-'Ratios Applied'!C10)</f>
        <v>0</v>
      </c>
      <c r="D37" s="13">
        <f>'Input Values Here'!E53</f>
        <v>0</v>
      </c>
      <c r="E37" s="27">
        <f>C37*D37/100</f>
        <v>0</v>
      </c>
    </row>
    <row r="38" spans="1:5">
      <c r="A38" s="28" t="s">
        <v>166</v>
      </c>
      <c r="B38" s="28" t="s">
        <v>171</v>
      </c>
      <c r="C38" s="32"/>
      <c r="D38" s="32"/>
      <c r="E38" s="29">
        <f>SUM(E34:E37)</f>
        <v>0</v>
      </c>
    </row>
    <row r="39" spans="1:5">
      <c r="A39" s="2"/>
      <c r="B39" s="2"/>
      <c r="C39" s="13"/>
      <c r="D39" s="13"/>
      <c r="E39" s="27"/>
    </row>
    <row r="40" spans="1:5">
      <c r="A40" s="2" t="s">
        <v>172</v>
      </c>
      <c r="B40" s="2" t="s">
        <v>145</v>
      </c>
      <c r="C40" s="13"/>
      <c r="D40" s="13"/>
      <c r="E40" s="27">
        <f>E26*'Ratios Applied'!C27+E27*'Ratios Applied'!C28+E28*'Ratios Applied'!C29+E29*'Ratios Applied'!C30+E30*'Ratios Applied'!C31</f>
        <v>0</v>
      </c>
    </row>
    <row r="41" spans="1:5">
      <c r="A41" s="2" t="s">
        <v>172</v>
      </c>
      <c r="B41" s="2" t="s">
        <v>173</v>
      </c>
      <c r="C41" s="13"/>
      <c r="D41" s="13"/>
      <c r="E41" s="27">
        <f>E26*'Ratios Applied'!D27+E27*'Ratios Applied'!D28+E28*'Ratios Applied'!D29+E29*'Ratios Applied'!D30+E30*'Ratios Applied'!D31</f>
        <v>0</v>
      </c>
    </row>
    <row r="42" spans="1:5">
      <c r="A42" s="28"/>
      <c r="B42" s="28" t="s">
        <v>174</v>
      </c>
      <c r="C42" s="32"/>
      <c r="D42" s="32"/>
      <c r="E42" s="29">
        <f>SUM(E40:E41)</f>
        <v>0</v>
      </c>
    </row>
    <row r="43" spans="1:5">
      <c r="A43" s="2"/>
      <c r="B43" s="2"/>
      <c r="C43" s="13"/>
      <c r="D43" s="13"/>
      <c r="E43" s="27"/>
    </row>
    <row r="44" spans="1:5">
      <c r="A44" s="2" t="s">
        <v>175</v>
      </c>
      <c r="B44" s="2" t="s">
        <v>176</v>
      </c>
      <c r="C44" s="13">
        <f>'Input Values Here'!C61*'Ratios Applied'!C18</f>
        <v>0</v>
      </c>
      <c r="D44" s="13">
        <f>'Input Values Here'!E61</f>
        <v>0</v>
      </c>
      <c r="E44" s="27">
        <f>C44*D44/100</f>
        <v>0</v>
      </c>
    </row>
    <row r="45" spans="1:5">
      <c r="A45" s="2" t="s">
        <v>175</v>
      </c>
      <c r="B45" s="2" t="s">
        <v>177</v>
      </c>
      <c r="C45" s="13">
        <f>'Input Values Here'!C62*'Ratios Applied'!C19</f>
        <v>0</v>
      </c>
      <c r="D45" s="13">
        <f>'Input Values Here'!E62</f>
        <v>0</v>
      </c>
      <c r="E45" s="27">
        <f>C45*D45/100</f>
        <v>0</v>
      </c>
    </row>
    <row r="46" spans="1:5">
      <c r="A46" s="2" t="s">
        <v>175</v>
      </c>
      <c r="B46" s="2" t="s">
        <v>178</v>
      </c>
      <c r="C46" s="13">
        <f>'Input Values Here'!C63*'Ratios Applied'!C20</f>
        <v>0</v>
      </c>
      <c r="D46" s="13">
        <f>'Input Values Here'!E63</f>
        <v>0</v>
      </c>
      <c r="E46" s="27">
        <f>C46*D46/100</f>
        <v>0</v>
      </c>
    </row>
    <row r="47" spans="1:5">
      <c r="A47" s="2" t="s">
        <v>175</v>
      </c>
      <c r="B47" s="2" t="s">
        <v>179</v>
      </c>
      <c r="C47" s="13">
        <f>'Input Values Here'!C64*'Ratios Applied'!C21</f>
        <v>0</v>
      </c>
      <c r="D47" s="13">
        <f>'Input Values Here'!E64</f>
        <v>0</v>
      </c>
      <c r="E47" s="27">
        <f>C47*D47/100</f>
        <v>0</v>
      </c>
    </row>
    <row r="48" spans="1:5">
      <c r="A48" s="2"/>
      <c r="B48" s="2"/>
      <c r="C48" s="13"/>
      <c r="D48" s="13"/>
      <c r="E48" s="27"/>
    </row>
    <row r="49" spans="1:5">
      <c r="A49" s="2" t="s">
        <v>175</v>
      </c>
      <c r="B49" s="2" t="s">
        <v>147</v>
      </c>
      <c r="C49" s="13"/>
      <c r="D49" s="13"/>
      <c r="E49" s="27">
        <f>E26*'Ratios Applied'!H27+E27*'Ratios Applied'!H28+E28*'Ratios Applied'!H29+E29*'Ratios Applied'!H30+E30*'Ratios Applied'!H31</f>
        <v>0</v>
      </c>
    </row>
    <row r="50" spans="1:5">
      <c r="A50" s="2" t="s">
        <v>175</v>
      </c>
      <c r="B50" s="2" t="s">
        <v>148</v>
      </c>
      <c r="C50" s="13"/>
      <c r="D50" s="13"/>
      <c r="E50" s="27">
        <f>E26*'Ratios Applied'!E27+E27*'Ratios Applied'!E28+E28*'Ratios Applied'!E29+E29*'Ratios Applied'!E30+E30*'Ratios Applied'!E31</f>
        <v>0</v>
      </c>
    </row>
    <row r="51" spans="1:5">
      <c r="A51" s="2" t="s">
        <v>175</v>
      </c>
      <c r="B51" s="2" t="s">
        <v>149</v>
      </c>
      <c r="C51" s="13"/>
      <c r="D51" s="13"/>
      <c r="E51" s="27">
        <f>E26*'Ratios Applied'!F27+E27*'Ratios Applied'!F28+E28*'Ratios Applied'!F29+E29*'Ratios Applied'!F30+E30*'Ratios Applied'!F31</f>
        <v>0</v>
      </c>
    </row>
    <row r="52" spans="1:5">
      <c r="A52" s="2" t="s">
        <v>175</v>
      </c>
      <c r="B52" s="2" t="s">
        <v>151</v>
      </c>
      <c r="C52" s="13"/>
      <c r="D52" s="13"/>
      <c r="E52" s="27">
        <f>E26*'Ratios Applied'!B34+E27*'Ratios Applied'!B35+E28*'Ratios Applied'!B36+E29*'Ratios Applied'!B37+E30*'Ratios Applied'!B38</f>
        <v>0</v>
      </c>
    </row>
    <row r="53" spans="1:5">
      <c r="A53" s="2" t="s">
        <v>175</v>
      </c>
      <c r="B53" s="2" t="s">
        <v>152</v>
      </c>
      <c r="C53" s="13"/>
      <c r="D53" s="13"/>
      <c r="E53" s="27">
        <f>E26*'Ratios Applied'!C34+E27*'Ratios Applied'!C35+E28*'Ratios Applied'!C36+E29*'Ratios Applied'!C37+E30*'Ratios Applied'!C38</f>
        <v>0</v>
      </c>
    </row>
    <row r="54" spans="1:5">
      <c r="A54" s="2" t="s">
        <v>175</v>
      </c>
      <c r="B54" s="2" t="s">
        <v>153</v>
      </c>
      <c r="C54" s="13"/>
      <c r="D54" s="13"/>
      <c r="E54" s="27">
        <f>E26*'Ratios Applied'!D34+E27*'Ratios Applied'!D35+E28*'Ratios Applied'!D36+E29*'Ratios Applied'!D37+E30*'Ratios Applied'!D38</f>
        <v>0</v>
      </c>
    </row>
    <row r="55" spans="1:5">
      <c r="A55" s="2" t="s">
        <v>175</v>
      </c>
      <c r="B55" s="2" t="s">
        <v>154</v>
      </c>
      <c r="C55" s="13"/>
      <c r="D55" s="13"/>
      <c r="E55" s="27">
        <f>E26*'Ratios Applied'!F34+E27*'Ratios Applied'!F35+E28*'Ratios Applied'!F36+E29*'Ratios Applied'!F37+E30*'Ratios Applied'!F38</f>
        <v>0</v>
      </c>
    </row>
    <row r="56" spans="1:5">
      <c r="A56" s="2" t="s">
        <v>175</v>
      </c>
      <c r="B56" s="2" t="s">
        <v>150</v>
      </c>
      <c r="C56" s="13"/>
      <c r="D56" s="13"/>
      <c r="E56" s="27">
        <f>E26*'Ratios Applied'!G27+E27*'Ratios Applied'!G28+E28*'Ratios Applied'!G29+E29*'Ratios Applied'!G30+E30*'Ratios Applied'!G31</f>
        <v>0</v>
      </c>
    </row>
    <row r="57" spans="1:5">
      <c r="A57" s="2" t="s">
        <v>175</v>
      </c>
      <c r="B57" s="2" t="s">
        <v>155</v>
      </c>
      <c r="C57" s="13"/>
      <c r="D57" s="13"/>
      <c r="E57" s="27">
        <f>E26*'Ratios Applied'!E34+E27*'Ratios Applied'!E35+E28*'Ratios Applied'!E36+E29*'Ratios Applied'!E37+E30*'Ratios Applied'!E38</f>
        <v>0</v>
      </c>
    </row>
    <row r="58" spans="1:5">
      <c r="A58" s="28"/>
      <c r="B58" s="28" t="s">
        <v>180</v>
      </c>
      <c r="C58" s="32"/>
      <c r="D58" s="32"/>
      <c r="E58" s="29">
        <f>SUM(E44:E57)</f>
        <v>0</v>
      </c>
    </row>
    <row r="59" spans="1:5">
      <c r="A59" s="28"/>
      <c r="B59" s="28" t="s">
        <v>181</v>
      </c>
      <c r="C59" s="32"/>
      <c r="D59" s="32"/>
      <c r="E59" s="29">
        <f>E32+E38+E42+E58</f>
        <v>0</v>
      </c>
    </row>
    <row r="60" spans="1:5">
      <c r="A60" s="2"/>
      <c r="B60" s="2"/>
      <c r="C60" s="13"/>
      <c r="D60" s="13"/>
      <c r="E60" s="27"/>
    </row>
    <row r="61" spans="1:5">
      <c r="A61" s="28" t="s">
        <v>182</v>
      </c>
      <c r="B61" s="28" t="s">
        <v>183</v>
      </c>
      <c r="C61" s="32"/>
      <c r="D61" s="32"/>
      <c r="E61" s="29">
        <f>E8+E12+E17+E24+E59</f>
        <v>0</v>
      </c>
    </row>
    <row r="62" spans="1:5">
      <c r="A62" s="2"/>
      <c r="B62" s="2"/>
      <c r="C62" s="13"/>
      <c r="D62" s="13"/>
      <c r="E62" s="27"/>
    </row>
    <row r="63" spans="1:5">
      <c r="A63" s="1" t="s">
        <v>184</v>
      </c>
      <c r="B63" s="1" t="s">
        <v>78</v>
      </c>
      <c r="C63" s="31" t="s">
        <v>185</v>
      </c>
      <c r="D63" s="31" t="s">
        <v>19</v>
      </c>
      <c r="E63" s="30" t="s">
        <v>102</v>
      </c>
    </row>
    <row r="64" spans="1:5">
      <c r="A64" s="2" t="s">
        <v>184</v>
      </c>
      <c r="B64" s="2" t="str">
        <f>'Input Values Here'!A68</f>
        <v>Crossbreed cattle — Male</v>
      </c>
      <c r="C64" s="13">
        <f>'Input Values Here'!C68</f>
        <v>0</v>
      </c>
      <c r="D64" s="13">
        <f>'Input Values Here'!E68</f>
        <v>0</v>
      </c>
      <c r="E64" s="27">
        <f t="shared" ref="E64:E86" si="0">C64*D64/100</f>
        <v>0</v>
      </c>
    </row>
    <row r="65" spans="1:5">
      <c r="A65" s="2" t="s">
        <v>184</v>
      </c>
      <c r="B65" s="2" t="str">
        <f>'Input Values Here'!A69</f>
        <v>Crossbreed cattle — Female</v>
      </c>
      <c r="C65" s="13">
        <f>'Input Values Here'!C69</f>
        <v>0</v>
      </c>
      <c r="D65" s="13">
        <f>'Input Values Here'!E69</f>
        <v>0</v>
      </c>
      <c r="E65" s="27">
        <f t="shared" si="0"/>
        <v>0</v>
      </c>
    </row>
    <row r="66" spans="1:5">
      <c r="A66" s="2" t="s">
        <v>184</v>
      </c>
      <c r="B66" s="2" t="str">
        <f>'Input Values Here'!A70</f>
        <v>Crossbreed cattle — Young stock</v>
      </c>
      <c r="C66" s="13">
        <f>'Input Values Here'!C70</f>
        <v>0</v>
      </c>
      <c r="D66" s="13">
        <f>'Input Values Here'!E70</f>
        <v>0</v>
      </c>
      <c r="E66" s="27">
        <f t="shared" si="0"/>
        <v>0</v>
      </c>
    </row>
    <row r="67" spans="1:5" ht="28">
      <c r="A67" s="2" t="s">
        <v>184</v>
      </c>
      <c r="B67" s="2" t="str">
        <f>'Input Values Here'!A71</f>
        <v>Crossbreed cattle — Female not calved</v>
      </c>
      <c r="C67" s="13">
        <f>'Input Values Here'!C71</f>
        <v>0</v>
      </c>
      <c r="D67" s="13">
        <f>'Input Values Here'!E71</f>
        <v>0</v>
      </c>
      <c r="E67" s="27">
        <f t="shared" si="0"/>
        <v>0</v>
      </c>
    </row>
    <row r="68" spans="1:5">
      <c r="A68" s="2" t="s">
        <v>184</v>
      </c>
      <c r="B68" s="2" t="str">
        <f>'Input Values Here'!A72</f>
        <v>Indigenous cattle — Male</v>
      </c>
      <c r="C68" s="13">
        <f>'Input Values Here'!C72</f>
        <v>0</v>
      </c>
      <c r="D68" s="13">
        <f>'Input Values Here'!E72</f>
        <v>0</v>
      </c>
      <c r="E68" s="27">
        <f t="shared" si="0"/>
        <v>0</v>
      </c>
    </row>
    <row r="69" spans="1:5">
      <c r="A69" s="2" t="s">
        <v>184</v>
      </c>
      <c r="B69" s="2" t="str">
        <f>'Input Values Here'!A73</f>
        <v>Indigenous cattle — Female</v>
      </c>
      <c r="C69" s="13">
        <f>'Input Values Here'!C73</f>
        <v>0</v>
      </c>
      <c r="D69" s="13">
        <f>'Input Values Here'!E73</f>
        <v>0</v>
      </c>
      <c r="E69" s="27">
        <f t="shared" si="0"/>
        <v>0</v>
      </c>
    </row>
    <row r="70" spans="1:5">
      <c r="A70" s="2" t="s">
        <v>184</v>
      </c>
      <c r="B70" s="2" t="str">
        <f>'Input Values Here'!A74</f>
        <v>Indigenous cattle — Young stock</v>
      </c>
      <c r="C70" s="13">
        <f>'Input Values Here'!C74</f>
        <v>0</v>
      </c>
      <c r="D70" s="13">
        <f>'Input Values Here'!E74</f>
        <v>0</v>
      </c>
      <c r="E70" s="27">
        <f t="shared" si="0"/>
        <v>0</v>
      </c>
    </row>
    <row r="71" spans="1:5">
      <c r="A71" s="2" t="s">
        <v>184</v>
      </c>
      <c r="B71" s="2" t="str">
        <f>'Input Values Here'!A75</f>
        <v>Indigenous cattle — Female not calved</v>
      </c>
      <c r="C71" s="13">
        <f>'Input Values Here'!C75</f>
        <v>0</v>
      </c>
      <c r="D71" s="13">
        <f>'Input Values Here'!E75</f>
        <v>0</v>
      </c>
      <c r="E71" s="27">
        <f t="shared" si="0"/>
        <v>0</v>
      </c>
    </row>
    <row r="72" spans="1:5">
      <c r="A72" s="2" t="s">
        <v>184</v>
      </c>
      <c r="B72" s="2" t="str">
        <f>'Input Values Here'!A76</f>
        <v>Buffalo — Male</v>
      </c>
      <c r="C72" s="13">
        <f>'Input Values Here'!C76</f>
        <v>0</v>
      </c>
      <c r="D72" s="13">
        <f>'Input Values Here'!E76</f>
        <v>0</v>
      </c>
      <c r="E72" s="27">
        <f t="shared" si="0"/>
        <v>0</v>
      </c>
    </row>
    <row r="73" spans="1:5">
      <c r="A73" s="2" t="s">
        <v>184</v>
      </c>
      <c r="B73" s="2" t="str">
        <f>'Input Values Here'!A77</f>
        <v>Buffalo — Female</v>
      </c>
      <c r="C73" s="13">
        <f>'Input Values Here'!C77</f>
        <v>0</v>
      </c>
      <c r="D73" s="13">
        <f>'Input Values Here'!E77</f>
        <v>0</v>
      </c>
      <c r="E73" s="27">
        <f t="shared" si="0"/>
        <v>0</v>
      </c>
    </row>
    <row r="74" spans="1:5">
      <c r="A74" s="2" t="s">
        <v>184</v>
      </c>
      <c r="B74" s="2" t="str">
        <f>'Input Values Here'!A78</f>
        <v>Buffalo — Young stock</v>
      </c>
      <c r="C74" s="13">
        <f>'Input Values Here'!C78</f>
        <v>0</v>
      </c>
      <c r="D74" s="13">
        <f>'Input Values Here'!E78</f>
        <v>0</v>
      </c>
      <c r="E74" s="27">
        <f t="shared" si="0"/>
        <v>0</v>
      </c>
    </row>
    <row r="75" spans="1:5">
      <c r="A75" s="2" t="s">
        <v>184</v>
      </c>
      <c r="B75" s="2" t="str">
        <f>'Input Values Here'!A79</f>
        <v>Buffalo — Female not calved</v>
      </c>
      <c r="C75" s="13">
        <f>'Input Values Here'!C79</f>
        <v>0</v>
      </c>
      <c r="D75" s="13">
        <f>'Input Values Here'!E79</f>
        <v>0</v>
      </c>
      <c r="E75" s="27">
        <f t="shared" si="0"/>
        <v>0</v>
      </c>
    </row>
    <row r="76" spans="1:5">
      <c r="A76" s="2" t="s">
        <v>184</v>
      </c>
      <c r="B76" s="2" t="str">
        <f>'Input Values Here'!A80</f>
        <v>Goat</v>
      </c>
      <c r="C76" s="13">
        <f>'Input Values Here'!C80</f>
        <v>0</v>
      </c>
      <c r="D76" s="13">
        <f>'Input Values Here'!E80</f>
        <v>0</v>
      </c>
      <c r="E76" s="27">
        <f t="shared" si="0"/>
        <v>0</v>
      </c>
    </row>
    <row r="77" spans="1:5">
      <c r="A77" s="2" t="s">
        <v>184</v>
      </c>
      <c r="B77" s="2" t="str">
        <f>'Input Values Here'!A81</f>
        <v>Sheep</v>
      </c>
      <c r="C77" s="13">
        <f>'Input Values Here'!C81</f>
        <v>0</v>
      </c>
      <c r="D77" s="13">
        <f>'Input Values Here'!E81</f>
        <v>0</v>
      </c>
      <c r="E77" s="27">
        <f t="shared" si="0"/>
        <v>0</v>
      </c>
    </row>
    <row r="78" spans="1:5">
      <c r="A78" s="2" t="s">
        <v>184</v>
      </c>
      <c r="B78" s="2" t="str">
        <f>'Input Values Here'!A82</f>
        <v>Pig</v>
      </c>
      <c r="C78" s="13">
        <f>'Input Values Here'!C82</f>
        <v>0</v>
      </c>
      <c r="D78" s="13">
        <f>'Input Values Here'!E82</f>
        <v>0</v>
      </c>
      <c r="E78" s="27">
        <f t="shared" si="0"/>
        <v>0</v>
      </c>
    </row>
    <row r="79" spans="1:5">
      <c r="A79" s="2" t="s">
        <v>184</v>
      </c>
      <c r="B79" s="2" t="str">
        <f>'Input Values Here'!A83</f>
        <v>Adult fowls</v>
      </c>
      <c r="C79" s="13">
        <f>'Input Values Here'!C83</f>
        <v>0</v>
      </c>
      <c r="D79" s="13">
        <f>'Input Values Here'!E83</f>
        <v>0</v>
      </c>
      <c r="E79" s="27">
        <f t="shared" si="0"/>
        <v>0</v>
      </c>
    </row>
    <row r="80" spans="1:5">
      <c r="A80" s="2" t="s">
        <v>184</v>
      </c>
      <c r="B80" s="2" t="str">
        <f>'Input Values Here'!A84</f>
        <v>Adult ducks</v>
      </c>
      <c r="C80" s="13">
        <f>'Input Values Here'!C84</f>
        <v>0</v>
      </c>
      <c r="D80" s="13">
        <f>'Input Values Here'!E84</f>
        <v>0</v>
      </c>
      <c r="E80" s="27">
        <f t="shared" si="0"/>
        <v>0</v>
      </c>
    </row>
    <row r="81" spans="1:5">
      <c r="A81" s="2" t="s">
        <v>184</v>
      </c>
      <c r="B81" s="2" t="str">
        <f>'Input Values Here'!A85</f>
        <v>Chicken &amp; ducklings</v>
      </c>
      <c r="C81" s="13">
        <f>'Input Values Here'!C85</f>
        <v>0</v>
      </c>
      <c r="D81" s="13">
        <f>'Input Values Here'!E85</f>
        <v>0</v>
      </c>
      <c r="E81" s="27">
        <f t="shared" si="0"/>
        <v>0</v>
      </c>
    </row>
    <row r="82" spans="1:5">
      <c r="A82" s="2" t="s">
        <v>184</v>
      </c>
      <c r="B82" s="2" t="str">
        <f>'Input Values Here'!A86</f>
        <v>Other poultry</v>
      </c>
      <c r="C82" s="13">
        <f>'Input Values Here'!C86</f>
        <v>0</v>
      </c>
      <c r="D82" s="13">
        <f>'Input Values Here'!E86</f>
        <v>0</v>
      </c>
      <c r="E82" s="27">
        <f t="shared" si="0"/>
        <v>0</v>
      </c>
    </row>
    <row r="83" spans="1:5">
      <c r="A83" s="2" t="s">
        <v>184</v>
      </c>
      <c r="B83" s="2" t="str">
        <f>'Input Values Here'!A87</f>
        <v>Camel</v>
      </c>
      <c r="C83" s="13">
        <f>'Input Values Here'!C87</f>
        <v>0</v>
      </c>
      <c r="D83" s="13">
        <f>'Input Values Here'!E87</f>
        <v>0</v>
      </c>
      <c r="E83" s="27">
        <f t="shared" si="0"/>
        <v>0</v>
      </c>
    </row>
    <row r="84" spans="1:5">
      <c r="A84" s="2" t="s">
        <v>184</v>
      </c>
      <c r="B84" s="2" t="str">
        <f>'Input Values Here'!A88</f>
        <v>Horses &amp; ponies</v>
      </c>
      <c r="C84" s="13">
        <f>'Input Values Here'!C88</f>
        <v>0</v>
      </c>
      <c r="D84" s="13">
        <f>'Input Values Here'!E88</f>
        <v>0</v>
      </c>
      <c r="E84" s="27">
        <f t="shared" si="0"/>
        <v>0</v>
      </c>
    </row>
    <row r="85" spans="1:5">
      <c r="A85" s="2" t="s">
        <v>184</v>
      </c>
      <c r="B85" s="2" t="str">
        <f>'Input Values Here'!A89</f>
        <v>Mules / yaks / mithuns</v>
      </c>
      <c r="C85" s="13">
        <f>'Input Values Here'!C89</f>
        <v>0</v>
      </c>
      <c r="D85" s="13">
        <f>'Input Values Here'!E89</f>
        <v>0</v>
      </c>
      <c r="E85" s="27">
        <f t="shared" si="0"/>
        <v>0</v>
      </c>
    </row>
    <row r="86" spans="1:5">
      <c r="A86" s="2" t="s">
        <v>184</v>
      </c>
      <c r="B86" s="2" t="str">
        <f>'Input Values Here'!A90</f>
        <v>Donkey</v>
      </c>
      <c r="C86" s="13">
        <f>'Input Values Here'!C90</f>
        <v>0</v>
      </c>
      <c r="D86" s="13">
        <f>'Input Values Here'!E90</f>
        <v>0</v>
      </c>
      <c r="E86" s="27">
        <f t="shared" si="0"/>
        <v>0</v>
      </c>
    </row>
    <row r="87" spans="1:5">
      <c r="A87" s="28"/>
      <c r="B87" s="28" t="s">
        <v>186</v>
      </c>
      <c r="C87" s="32"/>
      <c r="D87" s="32"/>
      <c r="E87" s="29">
        <f>SUM(E64:E86)</f>
        <v>0</v>
      </c>
    </row>
    <row r="88" spans="1:5">
      <c r="A88" s="2"/>
      <c r="B88" s="2"/>
      <c r="C88" s="2"/>
      <c r="D88" s="2"/>
      <c r="E88" s="27"/>
    </row>
    <row r="89" spans="1:5">
      <c r="A89" s="2"/>
      <c r="B89" s="2"/>
      <c r="C89" s="2"/>
      <c r="D89" s="2"/>
      <c r="E89" s="27"/>
    </row>
    <row r="90" spans="1:5">
      <c r="A90" s="37" t="s">
        <v>194</v>
      </c>
      <c r="B90" s="1" t="s">
        <v>187</v>
      </c>
      <c r="C90" s="1"/>
      <c r="D90" s="1"/>
      <c r="E90" s="30" t="s">
        <v>102</v>
      </c>
    </row>
    <row r="91" spans="1:5">
      <c r="A91" s="37"/>
      <c r="B91" s="28" t="s">
        <v>188</v>
      </c>
      <c r="C91" s="28"/>
      <c r="D91" s="28"/>
      <c r="E91" s="29">
        <f>E61+E87</f>
        <v>0</v>
      </c>
    </row>
    <row r="92" spans="1:5">
      <c r="A92" s="37"/>
      <c r="B92" s="2" t="s">
        <v>107</v>
      </c>
      <c r="C92" s="2"/>
      <c r="D92" s="2"/>
      <c r="E92" s="27">
        <f>'Input Values Here'!C7</f>
        <v>0</v>
      </c>
    </row>
    <row r="93" spans="1:5">
      <c r="A93" s="37"/>
      <c r="B93" s="2" t="s">
        <v>8</v>
      </c>
      <c r="C93" s="2"/>
      <c r="D93" s="2"/>
      <c r="E93" s="27">
        <f>'Input Values Here'!C8</f>
        <v>0</v>
      </c>
    </row>
    <row r="94" spans="1:5">
      <c r="A94" s="37"/>
      <c r="B94" s="2" t="s">
        <v>189</v>
      </c>
      <c r="C94" s="2"/>
      <c r="D94" s="2"/>
      <c r="E94" s="27">
        <f>'Input Values Here'!C9</f>
        <v>0</v>
      </c>
    </row>
    <row r="95" spans="1:5">
      <c r="A95" s="37"/>
      <c r="B95" s="2" t="s">
        <v>190</v>
      </c>
      <c r="C95" s="2"/>
      <c r="D95" s="2"/>
      <c r="E95" s="27">
        <f>'Input Values Here'!C10</f>
        <v>0</v>
      </c>
    </row>
    <row r="96" spans="1:5">
      <c r="A96" s="37"/>
      <c r="B96" s="28" t="s">
        <v>191</v>
      </c>
      <c r="C96" s="28"/>
      <c r="D96" s="28"/>
      <c r="E96" s="29">
        <f>SUM(E92:E95)</f>
        <v>0</v>
      </c>
    </row>
    <row r="97" spans="1:5">
      <c r="A97" s="37"/>
      <c r="B97" s="28" t="s">
        <v>108</v>
      </c>
      <c r="C97" s="28"/>
      <c r="D97" s="28"/>
      <c r="E97" s="29">
        <f>E91-E96</f>
        <v>0</v>
      </c>
    </row>
    <row r="98" spans="1:5">
      <c r="A98" s="37"/>
      <c r="B98" s="2" t="s">
        <v>109</v>
      </c>
      <c r="C98" s="2"/>
      <c r="D98" s="2"/>
      <c r="E98" s="27">
        <f>E97*'Input Values Here'!C11</f>
        <v>0</v>
      </c>
    </row>
    <row r="99" spans="1:5">
      <c r="A99" s="37"/>
      <c r="B99" s="28" t="s">
        <v>110</v>
      </c>
      <c r="C99" s="28"/>
      <c r="D99" s="28"/>
      <c r="E99" s="29">
        <f>E97-E98</f>
        <v>0</v>
      </c>
    </row>
    <row r="100" spans="1:5">
      <c r="A100" s="37"/>
      <c r="B100" s="2" t="s">
        <v>13</v>
      </c>
      <c r="C100" s="2"/>
      <c r="D100" s="2"/>
      <c r="E100" s="27"/>
    </row>
  </sheetData>
  <mergeCells count="2">
    <mergeCell ref="A1:E1"/>
    <mergeCell ref="A90:A10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Input Values Here</vt:lpstr>
      <vt:lpstr>Ratios Applied</vt:lpstr>
      <vt:lpstr>GVA Calculation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Vardhan Singh</dc:creator>
  <cp:lastModifiedBy>Harsh Vardhan Singh</cp:lastModifiedBy>
  <dcterms:created xsi:type="dcterms:W3CDTF">2026-08-17T11:09:46Z</dcterms:created>
  <dcterms:modified xsi:type="dcterms:W3CDTF">2026-08-17T11:55:17Z</dcterms:modified>
</cp:coreProperties>
</file>