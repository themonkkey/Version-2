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harsh\OneDrive\Desktop\Andhra Pradesh\Working Sheet\"/>
    </mc:Choice>
  </mc:AlternateContent>
  <xr:revisionPtr revIDLastSave="0" documentId="8_{CC8827FD-039A-4A64-9B96-2733073B8C78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Estimation Sheet" sheetId="1" r:id="rId1"/>
    <sheet name="Ratio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5" i="1" l="1"/>
  <c r="B44" i="1"/>
  <c r="B43" i="1"/>
  <c r="B42" i="1"/>
  <c r="B39" i="1"/>
  <c r="B30" i="1"/>
  <c r="B29" i="1"/>
  <c r="B28" i="1"/>
  <c r="B27" i="1"/>
  <c r="B26" i="1"/>
  <c r="B25" i="1"/>
  <c r="B24" i="1"/>
  <c r="B23" i="1"/>
  <c r="B22" i="1"/>
  <c r="B21" i="1"/>
  <c r="B37" i="1" s="1"/>
  <c r="B20" i="1"/>
  <c r="B36" i="1" s="1"/>
  <c r="B46" i="1" s="1"/>
  <c r="B19" i="1"/>
  <c r="C30" i="1"/>
  <c r="C28" i="1"/>
  <c r="C27" i="1"/>
  <c r="B5" i="1" s="1"/>
  <c r="C26" i="1"/>
  <c r="C23" i="1"/>
  <c r="C19" i="1"/>
  <c r="B38" i="1" l="1"/>
  <c r="B47" i="1"/>
  <c r="B35" i="1"/>
  <c r="B40" i="1" l="1"/>
  <c r="B50" i="1" s="1"/>
</calcChain>
</file>

<file path=xl/sharedStrings.xml><?xml version="1.0" encoding="utf-8"?>
<sst xmlns="http://schemas.openxmlformats.org/spreadsheetml/2006/main" count="88" uniqueCount="77">
  <si>
    <t>District Fishery GVA Estimator</t>
  </si>
  <si>
    <t>District</t>
  </si>
  <si>
    <t>Reference Year</t>
  </si>
  <si>
    <t>Input status</t>
  </si>
  <si>
    <t>Species / Category</t>
  </si>
  <si>
    <t>Production (tonnes)</t>
  </si>
  <si>
    <t>Marine fish</t>
  </si>
  <si>
    <t>Inland fish</t>
  </si>
  <si>
    <t>Penaeid marine prawn</t>
  </si>
  <si>
    <t>Non-penaeid marine prawn</t>
  </si>
  <si>
    <t>Fresh-water prawn</t>
  </si>
  <si>
    <t>Brackish-water prawn</t>
  </si>
  <si>
    <t>B. Processed Product Prices</t>
  </si>
  <si>
    <t>Processed output</t>
  </si>
  <si>
    <t>Component</t>
  </si>
  <si>
    <t>Raw form output</t>
  </si>
  <si>
    <t>Salting output</t>
  </si>
  <si>
    <t>Sundrying output</t>
  </si>
  <si>
    <t>Frozen output</t>
  </si>
  <si>
    <t>Subsistence fish</t>
  </si>
  <si>
    <t>GROSS VALUE OF OUTPUT</t>
  </si>
  <si>
    <t>Intermediate consumption — Marine</t>
  </si>
  <si>
    <t>Intermediate consumption — Inland</t>
  </si>
  <si>
    <t>Intermediate consumption — Subsistence</t>
  </si>
  <si>
    <t>Intermediate consumption — Prawns</t>
  </si>
  <si>
    <t>Intermediate consumption — Salting</t>
  </si>
  <si>
    <t>TOTAL INTERMEDIATE CONSUMPTION</t>
  </si>
  <si>
    <t>GROSS VALUE ADDED — UNADJUSTED</t>
  </si>
  <si>
    <t>Less: FISIM</t>
  </si>
  <si>
    <t>GROSS VALUE ADDED — ADJUSTED</t>
  </si>
  <si>
    <t>Assumption</t>
  </si>
  <si>
    <t>Rate</t>
  </si>
  <si>
    <t>Source / original workbook logic</t>
  </si>
  <si>
    <t>Marine fish — raw form share</t>
  </si>
  <si>
    <t>Marine fish — salting share</t>
  </si>
  <si>
    <t>Marine fish — sundrying share</t>
  </si>
  <si>
    <t>Marine fish — freezing share</t>
  </si>
  <si>
    <t>Inland fish — raw form share</t>
  </si>
  <si>
    <t>Inland fish — salting share</t>
  </si>
  <si>
    <t>Inland fish — sundrying share</t>
  </si>
  <si>
    <t>Penaeid prawn — raw share</t>
  </si>
  <si>
    <t>Non-penaeid prawn — raw share</t>
  </si>
  <si>
    <t>Fresh-water prawn — raw share</t>
  </si>
  <si>
    <t>Brackish-water prawn — raw share</t>
  </si>
  <si>
    <t>Brackish-water prawn — frozen share</t>
  </si>
  <si>
    <t>Subsistence fish share</t>
  </si>
  <si>
    <t>Intermediate consumption — marine</t>
  </si>
  <si>
    <t>Intermediate consumption — inland</t>
  </si>
  <si>
    <t>Intermediate consumption — subsistence</t>
  </si>
  <si>
    <t>Intermediate consumption — prawns</t>
  </si>
  <si>
    <t>Intermediate consumption — salting</t>
  </si>
  <si>
    <t>Marine (Raw Form)</t>
  </si>
  <si>
    <t>Marine (Sundrying)</t>
  </si>
  <si>
    <t>Marine (Freezing)</t>
  </si>
  <si>
    <t xml:space="preserve">Inland ( RAW FORM) </t>
  </si>
  <si>
    <t>Marine (Salting)</t>
  </si>
  <si>
    <t xml:space="preserve">Inland ( Salting) </t>
  </si>
  <si>
    <t xml:space="preserve">Inland ( Sundrying) </t>
  </si>
  <si>
    <t>Prawn:PENAEID VARIETY   (Raw Form)</t>
  </si>
  <si>
    <t xml:space="preserve">Prawn:NON PENAEID VARIETY (Raw Form)  </t>
  </si>
  <si>
    <t>Prawn: Brackish Water (Raw Form)</t>
  </si>
  <si>
    <t>Prawn: Brackish Water (Freezing)</t>
  </si>
  <si>
    <t>Fresh Water Prawn (Raw)</t>
  </si>
  <si>
    <t>Gross Value of Output</t>
  </si>
  <si>
    <t>Enter Value</t>
  </si>
  <si>
    <t>Enter Values</t>
  </si>
  <si>
    <t>Calculation Summary Gross Value of Input (Ratios Applied Check Sheet Named Ratios)</t>
  </si>
  <si>
    <t xml:space="preserve">Calculation Summary Gross Value of Output </t>
  </si>
  <si>
    <t>Production (Ratios Applied Check Sheet Named Ratios))</t>
  </si>
  <si>
    <t>A. Production &amp; Average  Price</t>
  </si>
  <si>
    <t>Avgprice (₹/tonne)</t>
  </si>
  <si>
    <t>Prices</t>
  </si>
  <si>
    <t>Applicable Ratios</t>
  </si>
  <si>
    <t>Salting recovery</t>
  </si>
  <si>
    <t>Sun drying  recovery</t>
  </si>
  <si>
    <t xml:space="preserve">Enter only the yellow cells. </t>
  </si>
  <si>
    <t>Updating Ratios here will reflect in Estimation Sheet formulas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</si>
</sst>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[Red]\(#,##0.00\);\-"/>
    <numFmt numFmtId="165" formatCode="0.00%;[Red]\(0.00%\);\-"/>
    <numFmt numFmtId="166" formatCode="#,##0;[Red]\(#,##0\);\-"/>
  </numFmts>
  <fonts count="10">
    <font>
      <sz val="11"/>
      <name val="Carlito"/>
    </font>
    <font>
      <b/>
      <sz val="16"/>
      <color rgb="FFFFFFFF"/>
      <name val="Carlito"/>
    </font>
    <font>
      <sz val="10"/>
      <color rgb="FF1F1F1F"/>
      <name val="Carlito"/>
    </font>
    <font>
      <sz val="11"/>
      <color rgb="FF0000FF"/>
      <name val="Carlito"/>
    </font>
    <font>
      <b/>
      <sz val="11"/>
      <color rgb="FF000000"/>
      <name val="Carlito"/>
    </font>
    <font>
      <b/>
      <sz val="11"/>
      <color rgb="FFFFFFFF"/>
      <name val="Carlito"/>
    </font>
    <font>
      <sz val="11"/>
      <color rgb="FF000000"/>
      <name val="Carlito"/>
    </font>
    <font>
      <i/>
      <sz val="9"/>
      <color rgb="FF666666"/>
      <name val="Carlito"/>
    </font>
    <font>
      <sz val="10"/>
      <name val="Courier"/>
      <family val="3"/>
    </font>
    <font>
      <i/>
      <sz val="20"/>
      <color rgb="FF666666"/>
      <name val="Carlito"/>
    </font>
  </fonts>
  <fills count="10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EAF2F8"/>
      </patternFill>
    </fill>
    <fill>
      <patternFill patternType="solid">
        <fgColor rgb="FFFFF2CC"/>
      </patternFill>
    </fill>
    <fill>
      <patternFill patternType="solid">
        <fgColor rgb="FFF3F6F9"/>
      </patternFill>
    </fill>
    <fill>
      <patternFill patternType="solid">
        <fgColor rgb="FFE2F0D9"/>
      </patternFill>
    </fill>
    <fill>
      <patternFill patternType="solid">
        <fgColor rgb="FFD9EAF7"/>
      </patternFill>
    </fill>
    <fill>
      <patternFill patternType="solid">
        <fgColor rgb="FFEAF4E0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8" fillId="0" borderId="1"/>
  </cellStyleXfs>
  <cellXfs count="26">
    <xf numFmtId="0" fontId="0" fillId="0" borderId="0" xfId="0"/>
    <xf numFmtId="0" fontId="4" fillId="7" borderId="0" xfId="0" applyFont="1" applyFill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5" borderId="0" xfId="0" applyFont="1" applyFill="1" applyAlignment="1">
      <alignment vertical="center" wrapText="1"/>
    </xf>
    <xf numFmtId="164" fontId="3" fillId="4" borderId="0" xfId="0" applyNumberFormat="1" applyFont="1" applyFill="1" applyAlignment="1">
      <alignment vertical="center" wrapText="1"/>
    </xf>
    <xf numFmtId="166" fontId="3" fillId="4" borderId="0" xfId="0" applyNumberFormat="1" applyFont="1" applyFill="1" applyAlignment="1">
      <alignment vertical="center" wrapText="1"/>
    </xf>
    <xf numFmtId="164" fontId="6" fillId="0" borderId="0" xfId="0" applyNumberFormat="1" applyFont="1" applyAlignment="1">
      <alignment vertical="center" wrapText="1"/>
    </xf>
    <xf numFmtId="164" fontId="0" fillId="0" borderId="0" xfId="0" applyNumberFormat="1" applyAlignment="1">
      <alignment vertical="center" wrapText="1"/>
    </xf>
    <xf numFmtId="164" fontId="4" fillId="5" borderId="0" xfId="0" applyNumberFormat="1" applyFont="1" applyFill="1" applyAlignment="1">
      <alignment vertical="center" wrapText="1"/>
    </xf>
    <xf numFmtId="0" fontId="4" fillId="8" borderId="0" xfId="0" applyFont="1" applyFill="1" applyAlignment="1">
      <alignment vertical="center" wrapText="1"/>
    </xf>
    <xf numFmtId="164" fontId="4" fillId="8" borderId="0" xfId="0" applyNumberFormat="1" applyFont="1" applyFill="1" applyAlignment="1">
      <alignment vertical="center" wrapText="1"/>
    </xf>
    <xf numFmtId="0" fontId="4" fillId="6" borderId="0" xfId="0" applyFont="1" applyFill="1" applyAlignment="1">
      <alignment vertical="center" wrapText="1"/>
    </xf>
    <xf numFmtId="164" fontId="4" fillId="6" borderId="0" xfId="0" applyNumberFormat="1" applyFont="1" applyFill="1" applyAlignment="1">
      <alignment vertical="center" wrapText="1"/>
    </xf>
    <xf numFmtId="0" fontId="0" fillId="0" borderId="0" xfId="0" applyAlignment="1">
      <alignment wrapText="1"/>
    </xf>
    <xf numFmtId="165" fontId="3" fillId="4" borderId="0" xfId="0" applyNumberFormat="1" applyFont="1" applyFill="1" applyAlignment="1">
      <alignment wrapText="1"/>
    </xf>
    <xf numFmtId="164" fontId="7" fillId="0" borderId="0" xfId="0" applyNumberFormat="1" applyFont="1" applyAlignment="1">
      <alignment vertical="center" wrapText="1"/>
    </xf>
    <xf numFmtId="0" fontId="5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vertical="center" wrapText="1"/>
    </xf>
    <xf numFmtId="0" fontId="3" fillId="4" borderId="0" xfId="0" applyFont="1" applyFill="1" applyAlignment="1">
      <alignment vertical="center" wrapText="1"/>
    </xf>
    <xf numFmtId="0" fontId="4" fillId="0" borderId="0" xfId="0" applyFont="1" applyAlignment="1">
      <alignment vertical="center" wrapText="1"/>
    </xf>
    <xf numFmtId="0" fontId="2" fillId="3" borderId="0" xfId="0" applyFont="1" applyFill="1" applyAlignment="1">
      <alignment wrapText="1"/>
    </xf>
    <xf numFmtId="166" fontId="3" fillId="9" borderId="0" xfId="0" applyNumberFormat="1" applyFont="1" applyFill="1" applyAlignment="1">
      <alignment vertical="center" wrapText="1"/>
    </xf>
    <xf numFmtId="0" fontId="9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</cellXfs>
  <cellStyles count="2">
    <cellStyle name="Normal" xfId="0" builtinId="0"/>
    <cellStyle name="Normal 2" xfId="1" xr:uid="{7DEFCE3E-BDF8-458D-A0F2-9AA901D4022C}"/>
  </cellStyles>
  <dxfs count="2"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006100"/>
      </font>
      <fill>
        <patternFill patternType="solid">
          <bgColor rgb="FFC6E0B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"/>
  <sheetViews>
    <sheetView topLeftCell="A15" zoomScale="131" zoomScaleNormal="131" workbookViewId="0">
      <selection activeCell="F3" sqref="F3"/>
    </sheetView>
  </sheetViews>
  <sheetFormatPr defaultRowHeight="14"/>
  <cols>
    <col min="1" max="1" width="34" customWidth="1"/>
    <col min="2" max="3" width="22" customWidth="1"/>
    <col min="4" max="4" width="19" customWidth="1"/>
    <col min="6" max="6" width="18.9140625" customWidth="1"/>
  </cols>
  <sheetData>
    <row r="1" spans="1:4" ht="18.649999999999999" customHeight="1">
      <c r="A1" s="18" t="s">
        <v>0</v>
      </c>
      <c r="B1" s="18"/>
      <c r="C1" s="18"/>
      <c r="D1" s="18"/>
    </row>
    <row r="2" spans="1:4" ht="22.65" customHeight="1">
      <c r="A2" s="19" t="s">
        <v>75</v>
      </c>
      <c r="B2" s="19"/>
      <c r="C2" s="19"/>
      <c r="D2" s="19"/>
    </row>
    <row r="3" spans="1:4">
      <c r="A3" s="3"/>
      <c r="B3" s="3"/>
      <c r="C3" s="3"/>
      <c r="D3" s="3"/>
    </row>
    <row r="4" spans="1:4">
      <c r="A4" s="3" t="s">
        <v>1</v>
      </c>
      <c r="B4" s="20"/>
      <c r="C4" s="20"/>
      <c r="D4" s="3" t="s">
        <v>2</v>
      </c>
    </row>
    <row r="5" spans="1:4">
      <c r="A5" s="3" t="s">
        <v>3</v>
      </c>
      <c r="B5" s="21" t="str">
        <f>IF(COUNT(B10:C15,C19:C27)=18,"READY","ENTER ALL REQUIRED NUMERIC INPUTS")</f>
        <v>ENTER ALL REQUIRED NUMERIC INPUTS</v>
      </c>
      <c r="C5" s="21"/>
      <c r="D5" s="3"/>
    </row>
    <row r="6" spans="1:4">
      <c r="A6" s="3"/>
      <c r="B6" s="3"/>
      <c r="C6" s="3"/>
      <c r="D6" s="3"/>
    </row>
    <row r="7" spans="1:4">
      <c r="A7" s="3"/>
      <c r="B7" s="3"/>
      <c r="C7" s="3"/>
      <c r="D7" s="3"/>
    </row>
    <row r="8" spans="1:4">
      <c r="A8" s="17" t="s">
        <v>69</v>
      </c>
      <c r="B8" s="17"/>
      <c r="C8" s="17"/>
      <c r="D8" s="17"/>
    </row>
    <row r="9" spans="1:4">
      <c r="A9" s="1" t="s">
        <v>4</v>
      </c>
      <c r="B9" s="1" t="s">
        <v>5</v>
      </c>
      <c r="C9" s="1" t="s">
        <v>70</v>
      </c>
      <c r="D9" s="1"/>
    </row>
    <row r="10" spans="1:4">
      <c r="A10" s="3" t="s">
        <v>6</v>
      </c>
      <c r="B10" s="5">
        <v>1000</v>
      </c>
      <c r="C10" s="6"/>
      <c r="D10" s="7" t="s">
        <v>65</v>
      </c>
    </row>
    <row r="11" spans="1:4">
      <c r="A11" s="3" t="s">
        <v>7</v>
      </c>
      <c r="B11" s="5"/>
      <c r="C11" s="6"/>
      <c r="D11" s="7" t="s">
        <v>65</v>
      </c>
    </row>
    <row r="12" spans="1:4">
      <c r="A12" s="3" t="s">
        <v>8</v>
      </c>
      <c r="B12" s="5"/>
      <c r="C12" s="6"/>
      <c r="D12" s="7" t="s">
        <v>65</v>
      </c>
    </row>
    <row r="13" spans="1:4">
      <c r="A13" s="3" t="s">
        <v>9</v>
      </c>
      <c r="B13" s="5"/>
      <c r="C13" s="6"/>
      <c r="D13" s="7" t="s">
        <v>65</v>
      </c>
    </row>
    <row r="14" spans="1:4">
      <c r="A14" s="3" t="s">
        <v>10</v>
      </c>
      <c r="B14" s="5"/>
      <c r="C14" s="6"/>
      <c r="D14" s="7" t="s">
        <v>65</v>
      </c>
    </row>
    <row r="15" spans="1:4">
      <c r="A15" s="3" t="s">
        <v>11</v>
      </c>
      <c r="B15" s="5"/>
      <c r="C15" s="6"/>
      <c r="D15" s="7" t="s">
        <v>65</v>
      </c>
    </row>
    <row r="16" spans="1:4">
      <c r="A16" s="3"/>
      <c r="B16" s="3"/>
      <c r="C16" s="3"/>
      <c r="D16" s="3"/>
    </row>
    <row r="17" spans="1:4">
      <c r="A17" s="17" t="s">
        <v>12</v>
      </c>
      <c r="B17" s="17"/>
      <c r="C17" s="17"/>
      <c r="D17" s="17"/>
    </row>
    <row r="18" spans="1:4" ht="42">
      <c r="A18" s="1" t="s">
        <v>13</v>
      </c>
      <c r="B18" s="1" t="s">
        <v>68</v>
      </c>
      <c r="C18" s="1" t="s">
        <v>71</v>
      </c>
      <c r="D18" s="3"/>
    </row>
    <row r="19" spans="1:4">
      <c r="A19" s="3" t="s">
        <v>51</v>
      </c>
      <c r="B19" s="16">
        <f>Ratios!B4*B10</f>
        <v>810</v>
      </c>
      <c r="C19" s="6">
        <f>C10</f>
        <v>0</v>
      </c>
      <c r="D19" s="3"/>
    </row>
    <row r="20" spans="1:4">
      <c r="A20" s="3" t="s">
        <v>55</v>
      </c>
      <c r="B20" s="2">
        <f>Ratios!B5*B10</f>
        <v>150</v>
      </c>
      <c r="C20" s="23"/>
      <c r="D20" s="7" t="s">
        <v>65</v>
      </c>
    </row>
    <row r="21" spans="1:4">
      <c r="A21" s="3" t="s">
        <v>52</v>
      </c>
      <c r="B21" s="2">
        <f>Ratios!B6*B10</f>
        <v>10</v>
      </c>
      <c r="C21" s="23"/>
      <c r="D21" s="7" t="s">
        <v>65</v>
      </c>
    </row>
    <row r="22" spans="1:4">
      <c r="A22" s="3" t="s">
        <v>53</v>
      </c>
      <c r="B22" s="2">
        <f>Ratios!B7*B10</f>
        <v>30</v>
      </c>
      <c r="C22" s="6"/>
      <c r="D22" s="7" t="s">
        <v>65</v>
      </c>
    </row>
    <row r="23" spans="1:4">
      <c r="A23" s="3" t="s">
        <v>54</v>
      </c>
      <c r="B23" s="2">
        <f>Ratios!B9*B11</f>
        <v>0</v>
      </c>
      <c r="C23" s="6">
        <f>C11</f>
        <v>0</v>
      </c>
      <c r="D23" s="3"/>
    </row>
    <row r="24" spans="1:4">
      <c r="A24" s="3" t="s">
        <v>56</v>
      </c>
      <c r="B24" s="2">
        <f>Ratios!B10*B11</f>
        <v>0</v>
      </c>
      <c r="C24" s="23"/>
      <c r="D24" s="7" t="s">
        <v>65</v>
      </c>
    </row>
    <row r="25" spans="1:4">
      <c r="A25" s="3" t="s">
        <v>57</v>
      </c>
      <c r="B25" s="2">
        <f>Ratios!B11*B11</f>
        <v>0</v>
      </c>
      <c r="C25" s="23"/>
      <c r="D25" s="7" t="s">
        <v>65</v>
      </c>
    </row>
    <row r="26" spans="1:4" ht="28">
      <c r="A26" s="3" t="s">
        <v>58</v>
      </c>
      <c r="B26" s="2">
        <f>Ratios!B13*B12</f>
        <v>0</v>
      </c>
      <c r="C26" s="23">
        <f>C12</f>
        <v>0</v>
      </c>
      <c r="D26" s="3"/>
    </row>
    <row r="27" spans="1:4" ht="28">
      <c r="A27" s="3" t="s">
        <v>59</v>
      </c>
      <c r="B27" s="2">
        <f>Ratios!B14*B13</f>
        <v>0</v>
      </c>
      <c r="C27" s="23">
        <f>C13</f>
        <v>0</v>
      </c>
      <c r="D27" s="3"/>
    </row>
    <row r="28" spans="1:4">
      <c r="A28" s="3" t="s">
        <v>60</v>
      </c>
      <c r="B28" s="2">
        <f>Ratios!B16*B15</f>
        <v>0</v>
      </c>
      <c r="C28" s="23">
        <f>C15</f>
        <v>0</v>
      </c>
      <c r="D28" s="3"/>
    </row>
    <row r="29" spans="1:4">
      <c r="A29" s="3" t="s">
        <v>61</v>
      </c>
      <c r="B29" s="2">
        <f>Ratios!B17*B15</f>
        <v>0</v>
      </c>
      <c r="C29" s="6"/>
      <c r="D29" s="7" t="s">
        <v>65</v>
      </c>
    </row>
    <row r="30" spans="1:4">
      <c r="A30" s="3" t="s">
        <v>62</v>
      </c>
      <c r="B30" s="16">
        <f>Ratios!B15*B14</f>
        <v>0</v>
      </c>
      <c r="C30" s="23">
        <f>C14</f>
        <v>0</v>
      </c>
      <c r="D30" s="3"/>
    </row>
    <row r="31" spans="1:4">
      <c r="A31" s="3"/>
      <c r="B31" s="3"/>
      <c r="C31" s="3"/>
      <c r="D31" s="3"/>
    </row>
    <row r="32" spans="1:4">
      <c r="A32" s="3"/>
      <c r="B32" s="3"/>
      <c r="C32" s="3"/>
      <c r="D32" s="3"/>
    </row>
    <row r="33" spans="1:4">
      <c r="A33" s="17" t="s">
        <v>67</v>
      </c>
      <c r="B33" s="17"/>
      <c r="C33" s="17"/>
      <c r="D33" s="17"/>
    </row>
    <row r="34" spans="1:4">
      <c r="A34" s="1" t="s">
        <v>14</v>
      </c>
      <c r="B34" s="1" t="s">
        <v>63</v>
      </c>
      <c r="C34" s="1"/>
      <c r="D34" s="1"/>
    </row>
    <row r="35" spans="1:4">
      <c r="A35" s="3" t="s">
        <v>15</v>
      </c>
      <c r="B35" s="8">
        <f>(B19*C10+B23*C11+B26*C12+B27*C13+B28*C15+B30*C14)</f>
        <v>0</v>
      </c>
      <c r="C35" s="3"/>
      <c r="D35" s="8"/>
    </row>
    <row r="36" spans="1:4">
      <c r="A36" s="3" t="s">
        <v>16</v>
      </c>
      <c r="B36" s="8">
        <f>(Ratios!B19*B20*C20+Ratios!B19*B24*C24)</f>
        <v>0</v>
      </c>
      <c r="C36" s="3"/>
      <c r="D36" s="8"/>
    </row>
    <row r="37" spans="1:4">
      <c r="A37" s="3" t="s">
        <v>17</v>
      </c>
      <c r="B37" s="8">
        <f>(Ratios!B20*B21*C21+Ratios!B20*B25*C25)</f>
        <v>0</v>
      </c>
      <c r="C37" s="3"/>
      <c r="D37" s="8"/>
    </row>
    <row r="38" spans="1:4">
      <c r="A38" s="3" t="s">
        <v>18</v>
      </c>
      <c r="B38" s="8">
        <f>B22*C22+B29*C29</f>
        <v>0</v>
      </c>
      <c r="C38" s="3"/>
      <c r="D38" s="8"/>
    </row>
    <row r="39" spans="1:4">
      <c r="A39" s="3" t="s">
        <v>19</v>
      </c>
      <c r="B39" s="8">
        <f>Ratios!B21*B11*C11</f>
        <v>0</v>
      </c>
      <c r="C39" s="3"/>
      <c r="D39" s="8"/>
    </row>
    <row r="40" spans="1:4">
      <c r="A40" s="4" t="s">
        <v>20</v>
      </c>
      <c r="B40" s="9">
        <f>SUM(B35:B39)</f>
        <v>0</v>
      </c>
      <c r="C40" s="4"/>
      <c r="D40" s="9"/>
    </row>
    <row r="41" spans="1:4">
      <c r="A41" s="17" t="s">
        <v>66</v>
      </c>
      <c r="B41" s="17"/>
      <c r="C41" s="17"/>
      <c r="D41" s="17"/>
    </row>
    <row r="42" spans="1:4">
      <c r="A42" s="3" t="s">
        <v>21</v>
      </c>
      <c r="B42" s="8">
        <f>Ratios!B23*B10*C10</f>
        <v>0</v>
      </c>
      <c r="C42" s="3"/>
      <c r="D42" s="8"/>
    </row>
    <row r="43" spans="1:4">
      <c r="A43" s="3" t="s">
        <v>22</v>
      </c>
      <c r="B43" s="8">
        <f>Ratios!B24*B11*C11</f>
        <v>0</v>
      </c>
      <c r="C43" s="3"/>
      <c r="D43" s="8"/>
    </row>
    <row r="44" spans="1:4" ht="28">
      <c r="A44" s="3" t="s">
        <v>23</v>
      </c>
      <c r="B44" s="8">
        <f>Ratios!B25*B39</f>
        <v>0</v>
      </c>
      <c r="C44" s="3"/>
      <c r="D44" s="8"/>
    </row>
    <row r="45" spans="1:4">
      <c r="A45" s="3" t="s">
        <v>24</v>
      </c>
      <c r="B45" s="8">
        <f>Ratios!B26*(B12*C12+B13*C13+B14*C14+B15*C15)</f>
        <v>0</v>
      </c>
      <c r="C45" s="3"/>
      <c r="D45" s="8"/>
    </row>
    <row r="46" spans="1:4">
      <c r="A46" s="3" t="s">
        <v>25</v>
      </c>
      <c r="B46" s="8">
        <f>Ratios!B27*B36</f>
        <v>0</v>
      </c>
      <c r="C46" s="3"/>
      <c r="D46" s="8"/>
    </row>
    <row r="47" spans="1:4" ht="28">
      <c r="A47" s="4" t="s">
        <v>26</v>
      </c>
      <c r="B47" s="9">
        <f>SUM(B42:B46)</f>
        <v>0</v>
      </c>
      <c r="C47" s="4"/>
      <c r="D47" s="9"/>
    </row>
    <row r="48" spans="1:4" ht="28">
      <c r="A48" s="10" t="s">
        <v>27</v>
      </c>
      <c r="B48" s="11"/>
      <c r="C48" s="10"/>
      <c r="D48" s="11"/>
    </row>
    <row r="49" spans="1:4">
      <c r="A49" s="3" t="s">
        <v>28</v>
      </c>
      <c r="B49" s="8"/>
      <c r="C49" s="6" t="s">
        <v>64</v>
      </c>
      <c r="D49" s="8"/>
    </row>
    <row r="50" spans="1:4" ht="28">
      <c r="A50" s="12" t="s">
        <v>29</v>
      </c>
      <c r="B50" s="13">
        <f>B48-B49</f>
        <v>0</v>
      </c>
      <c r="C50" s="12"/>
      <c r="D50" s="13"/>
    </row>
  </sheetData>
  <mergeCells count="8">
    <mergeCell ref="A33:D33"/>
    <mergeCell ref="A41:D41"/>
    <mergeCell ref="A8:D8"/>
    <mergeCell ref="A17:D17"/>
    <mergeCell ref="A1:D1"/>
    <mergeCell ref="A2:D2"/>
    <mergeCell ref="B4:C4"/>
    <mergeCell ref="B5:C5"/>
  </mergeCells>
  <conditionalFormatting sqref="B5:C5">
    <cfRule type="expression" dxfId="1" priority="1">
      <formula>B5="READY"</formula>
    </cfRule>
    <cfRule type="expression" dxfId="0" priority="2">
      <formula>B5&lt;&gt;"READY"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0"/>
  <sheetViews>
    <sheetView tabSelected="1" workbookViewId="0">
      <selection activeCell="H10" sqref="H10"/>
    </sheetView>
  </sheetViews>
  <sheetFormatPr defaultRowHeight="14"/>
  <cols>
    <col min="1" max="1" width="40" customWidth="1"/>
    <col min="2" max="2" width="16" customWidth="1"/>
    <col min="3" max="3" width="48" customWidth="1"/>
  </cols>
  <sheetData>
    <row r="1" spans="1:3" ht="18.649999999999999" customHeight="1">
      <c r="A1" s="18" t="s">
        <v>72</v>
      </c>
      <c r="B1" s="18"/>
      <c r="C1" s="18"/>
    </row>
    <row r="2" spans="1:3">
      <c r="A2" s="22"/>
      <c r="B2" s="22"/>
      <c r="C2" s="22"/>
    </row>
    <row r="3" spans="1:3">
      <c r="A3" s="1" t="s">
        <v>30</v>
      </c>
      <c r="B3" s="1" t="s">
        <v>31</v>
      </c>
      <c r="C3" s="1" t="s">
        <v>32</v>
      </c>
    </row>
    <row r="4" spans="1:3">
      <c r="A4" s="14" t="s">
        <v>33</v>
      </c>
      <c r="B4" s="15">
        <v>0.81</v>
      </c>
      <c r="C4" s="24" t="s">
        <v>76</v>
      </c>
    </row>
    <row r="5" spans="1:3">
      <c r="A5" s="14" t="s">
        <v>34</v>
      </c>
      <c r="B5" s="15">
        <v>0.15</v>
      </c>
      <c r="C5" s="25"/>
    </row>
    <row r="6" spans="1:3">
      <c r="A6" s="14" t="s">
        <v>35</v>
      </c>
      <c r="B6" s="15">
        <v>0.01</v>
      </c>
      <c r="C6" s="25"/>
    </row>
    <row r="7" spans="1:3">
      <c r="A7" s="14" t="s">
        <v>36</v>
      </c>
      <c r="B7" s="15">
        <v>0.03</v>
      </c>
      <c r="C7" s="25"/>
    </row>
    <row r="8" spans="1:3">
      <c r="A8" s="14"/>
      <c r="B8" s="14"/>
      <c r="C8" s="25"/>
    </row>
    <row r="9" spans="1:3">
      <c r="A9" s="14" t="s">
        <v>37</v>
      </c>
      <c r="B9" s="15">
        <v>0.9</v>
      </c>
      <c r="C9" s="25"/>
    </row>
    <row r="10" spans="1:3">
      <c r="A10" s="14" t="s">
        <v>38</v>
      </c>
      <c r="B10" s="15">
        <v>0.05</v>
      </c>
      <c r="C10" s="25"/>
    </row>
    <row r="11" spans="1:3">
      <c r="A11" s="14" t="s">
        <v>39</v>
      </c>
      <c r="B11" s="15">
        <v>0.05</v>
      </c>
      <c r="C11" s="25"/>
    </row>
    <row r="12" spans="1:3">
      <c r="A12" s="14"/>
      <c r="B12" s="14"/>
      <c r="C12" s="25"/>
    </row>
    <row r="13" spans="1:3">
      <c r="A13" s="14" t="s">
        <v>40</v>
      </c>
      <c r="B13" s="15">
        <v>1</v>
      </c>
      <c r="C13" s="25"/>
    </row>
    <row r="14" spans="1:3">
      <c r="A14" s="14" t="s">
        <v>41</v>
      </c>
      <c r="B14" s="15">
        <v>1</v>
      </c>
      <c r="C14" s="25"/>
    </row>
    <row r="15" spans="1:3">
      <c r="A15" s="14" t="s">
        <v>42</v>
      </c>
      <c r="B15" s="15">
        <v>1</v>
      </c>
      <c r="C15" s="25"/>
    </row>
    <row r="16" spans="1:3">
      <c r="A16" s="14" t="s">
        <v>43</v>
      </c>
      <c r="B16" s="15">
        <v>0.23930000000000001</v>
      </c>
      <c r="C16" s="25"/>
    </row>
    <row r="17" spans="1:3">
      <c r="A17" s="14" t="s">
        <v>44</v>
      </c>
      <c r="B17" s="15">
        <v>0.76070000000000004</v>
      </c>
      <c r="C17" s="25"/>
    </row>
    <row r="18" spans="1:3">
      <c r="A18" s="14"/>
      <c r="B18" s="14"/>
      <c r="C18" s="25"/>
    </row>
    <row r="19" spans="1:3">
      <c r="A19" s="14" t="s">
        <v>73</v>
      </c>
      <c r="B19" s="15">
        <v>0.55000000000000004</v>
      </c>
      <c r="C19" s="25"/>
    </row>
    <row r="20" spans="1:3">
      <c r="A20" s="14" t="s">
        <v>74</v>
      </c>
      <c r="B20" s="15">
        <v>0.55000000000000004</v>
      </c>
      <c r="C20" s="25"/>
    </row>
    <row r="21" spans="1:3">
      <c r="A21" s="14" t="s">
        <v>45</v>
      </c>
      <c r="B21" s="15">
        <v>0.125</v>
      </c>
      <c r="C21" s="25"/>
    </row>
    <row r="22" spans="1:3">
      <c r="A22" s="14"/>
      <c r="B22" s="14"/>
      <c r="C22" s="25"/>
    </row>
    <row r="23" spans="1:3">
      <c r="A23" s="14" t="s">
        <v>46</v>
      </c>
      <c r="B23" s="15">
        <v>0.22500000000000001</v>
      </c>
      <c r="C23" s="25"/>
    </row>
    <row r="24" spans="1:3">
      <c r="A24" s="14" t="s">
        <v>47</v>
      </c>
      <c r="B24" s="15">
        <v>0.1</v>
      </c>
      <c r="C24" s="25"/>
    </row>
    <row r="25" spans="1:3">
      <c r="A25" s="14" t="s">
        <v>48</v>
      </c>
      <c r="B25" s="15">
        <v>0.01</v>
      </c>
      <c r="C25" s="25"/>
    </row>
    <row r="26" spans="1:3">
      <c r="A26" s="14" t="s">
        <v>49</v>
      </c>
      <c r="B26" s="15">
        <v>0.22500000000000001</v>
      </c>
      <c r="C26" s="25"/>
    </row>
    <row r="27" spans="1:3">
      <c r="A27" s="14" t="s">
        <v>50</v>
      </c>
      <c r="B27" s="15">
        <v>0.01</v>
      </c>
      <c r="C27" s="25"/>
    </row>
    <row r="28" spans="1:3">
      <c r="A28" s="14"/>
      <c r="B28" s="14"/>
      <c r="C28" s="14"/>
    </row>
    <row r="29" spans="1:3">
      <c r="A29" s="14"/>
      <c r="B29" s="14"/>
      <c r="C29" s="14"/>
    </row>
    <row r="30" spans="1:3">
      <c r="A30" s="14"/>
      <c r="B30" s="14"/>
      <c r="C30" s="14"/>
    </row>
  </sheetData>
  <mergeCells count="3">
    <mergeCell ref="A1:C1"/>
    <mergeCell ref="A2:C2"/>
    <mergeCell ref="C4:C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Estimation Sheet</vt:lpstr>
      <vt:lpstr>Ratios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Vardhan Singh</dc:creator>
  <cp:lastModifiedBy>Harsh Vardhan Singh</cp:lastModifiedBy>
  <dcterms:created xsi:type="dcterms:W3CDTF">2026-08-07T11:31:38Z</dcterms:created>
  <dcterms:modified xsi:type="dcterms:W3CDTF">2026-08-08T08:00:46Z</dcterms:modified>
</cp:coreProperties>
</file>