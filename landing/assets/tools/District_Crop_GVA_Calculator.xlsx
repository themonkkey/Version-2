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e8e9225872e59fb/Desktop/Andhra Pradesh/Working Sheet/"/>
    </mc:Choice>
  </mc:AlternateContent>
  <xr:revisionPtr revIDLastSave="0" documentId="14_{1D7BF1AD-A007-43D0-B9D1-E5C051CC750B}" xr6:coauthVersionLast="47" xr6:coauthVersionMax="47" xr10:uidLastSave="{00000000-0000-0000-0000-000000000000}"/>
  <bookViews>
    <workbookView xWindow="-110" yWindow="-110" windowWidth="19420" windowHeight="10300" activeTab="2" xr2:uid="{00000000-000D-0000-FFFF-FFFF00000000}"/>
  </bookViews>
  <sheets>
    <sheet name="GVA Calculation" sheetId="1" r:id="rId1"/>
    <sheet name="Enter Values" sheetId="2" r:id="rId2"/>
    <sheet name="Ratios Applie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4" i="2" l="1"/>
  <c r="G104" i="2" s="1"/>
  <c r="D104" i="2"/>
  <c r="B59" i="3"/>
  <c r="B58" i="3"/>
  <c r="C57" i="3"/>
  <c r="B57" i="3"/>
  <c r="C55" i="3"/>
  <c r="B55" i="3"/>
  <c r="B54" i="3"/>
  <c r="G101" i="2"/>
  <c r="E101" i="2"/>
  <c r="D101" i="2"/>
  <c r="F46" i="2" l="1"/>
  <c r="E46" i="2"/>
  <c r="E33" i="2"/>
  <c r="E34" i="2" s="1"/>
  <c r="G34" i="2" s="1"/>
  <c r="D81" i="3"/>
  <c r="D75" i="3"/>
  <c r="D74" i="3"/>
  <c r="D73" i="3"/>
  <c r="D77" i="3" s="1"/>
  <c r="D78" i="3" s="1"/>
  <c r="D72" i="3"/>
  <c r="D71" i="3"/>
  <c r="C65" i="3"/>
  <c r="B65" i="3"/>
  <c r="D64" i="3"/>
  <c r="C63" i="3"/>
  <c r="B63" i="3"/>
  <c r="B62" i="3"/>
  <c r="C61" i="3"/>
  <c r="B61" i="3"/>
  <c r="B60" i="3"/>
  <c r="C58" i="3"/>
  <c r="C56" i="3"/>
  <c r="B56" i="3"/>
  <c r="D47" i="3"/>
  <c r="D46" i="3"/>
  <c r="D45" i="3"/>
  <c r="D49" i="3" s="1"/>
  <c r="D50" i="3" s="1"/>
  <c r="D41" i="3"/>
  <c r="D40" i="3"/>
  <c r="F38" i="2" s="1"/>
  <c r="G38" i="2" s="1"/>
  <c r="D39" i="3"/>
  <c r="D35" i="3"/>
  <c r="F60" i="2" s="1"/>
  <c r="D34" i="3"/>
  <c r="F54" i="2" s="1"/>
  <c r="G54" i="2" s="1"/>
  <c r="D33" i="3"/>
  <c r="D32" i="3"/>
  <c r="F66" i="2" s="1"/>
  <c r="D31" i="3"/>
  <c r="F68" i="2" s="1"/>
  <c r="E8" i="3"/>
  <c r="D10" i="3" s="1"/>
  <c r="F8" i="2" s="1"/>
  <c r="G8" i="2" s="1"/>
  <c r="E7" i="3"/>
  <c r="E6" i="3"/>
  <c r="G108" i="2"/>
  <c r="G109" i="2" s="1"/>
  <c r="G107" i="2"/>
  <c r="G105" i="2"/>
  <c r="G98" i="2"/>
  <c r="G97" i="2"/>
  <c r="G95" i="2"/>
  <c r="G94" i="2"/>
  <c r="G90" i="2"/>
  <c r="G89" i="2"/>
  <c r="G88" i="2"/>
  <c r="G87" i="2"/>
  <c r="G86" i="2"/>
  <c r="G85" i="2"/>
  <c r="G84" i="2"/>
  <c r="G83" i="2"/>
  <c r="G82" i="2"/>
  <c r="G81" i="2"/>
  <c r="G80" i="2"/>
  <c r="G79" i="2"/>
  <c r="G78" i="2"/>
  <c r="G77" i="2"/>
  <c r="G76" i="2"/>
  <c r="G75" i="2"/>
  <c r="F74" i="2"/>
  <c r="G74" i="2" s="1"/>
  <c r="G73" i="2"/>
  <c r="G72" i="2"/>
  <c r="G71" i="2"/>
  <c r="G70" i="2"/>
  <c r="G69" i="2"/>
  <c r="G67" i="2"/>
  <c r="F65" i="2"/>
  <c r="C59" i="3" s="1"/>
  <c r="G64" i="2"/>
  <c r="G63" i="2"/>
  <c r="G62" i="2"/>
  <c r="G61" i="2"/>
  <c r="G56" i="2"/>
  <c r="G55" i="2"/>
  <c r="G53" i="2"/>
  <c r="G52" i="2"/>
  <c r="G51" i="2"/>
  <c r="G50" i="2"/>
  <c r="G47" i="2"/>
  <c r="G45" i="2"/>
  <c r="G44" i="2"/>
  <c r="G43" i="2"/>
  <c r="G42" i="2"/>
  <c r="F39" i="2"/>
  <c r="G39" i="2" s="1"/>
  <c r="F37" i="2"/>
  <c r="G37" i="2" s="1"/>
  <c r="G30" i="2"/>
  <c r="G29" i="2"/>
  <c r="G28" i="2"/>
  <c r="G27" i="2"/>
  <c r="G26" i="2"/>
  <c r="G25" i="2"/>
  <c r="G24" i="2"/>
  <c r="G23" i="2"/>
  <c r="F20" i="2"/>
  <c r="G20" i="2" s="1"/>
  <c r="G19" i="2"/>
  <c r="G18" i="2"/>
  <c r="G17" i="2"/>
  <c r="G16" i="2"/>
  <c r="G15" i="2"/>
  <c r="G14" i="2"/>
  <c r="F11" i="2"/>
  <c r="G11" i="2" s="1"/>
  <c r="G10" i="2"/>
  <c r="G9" i="2"/>
  <c r="G60" i="2" l="1"/>
  <c r="C54" i="3"/>
  <c r="G33" i="2"/>
  <c r="G35" i="2" s="1"/>
  <c r="D58" i="3"/>
  <c r="G21" i="2"/>
  <c r="D59" i="3"/>
  <c r="G31" i="2"/>
  <c r="G46" i="2"/>
  <c r="G48" i="2" s="1"/>
  <c r="G102" i="2"/>
  <c r="D57" i="3"/>
  <c r="D65" i="3"/>
  <c r="D61" i="3"/>
  <c r="D63" i="3"/>
  <c r="G40" i="2"/>
  <c r="D55" i="3"/>
  <c r="D56" i="3"/>
  <c r="F57" i="2"/>
  <c r="G57" i="2" s="1"/>
  <c r="C60" i="3"/>
  <c r="D60" i="3" s="1"/>
  <c r="G66" i="2"/>
  <c r="G58" i="2"/>
  <c r="D96" i="2"/>
  <c r="D79" i="3"/>
  <c r="E96" i="2" s="1"/>
  <c r="G96" i="2" s="1"/>
  <c r="G99" i="2" s="1"/>
  <c r="G68" i="2"/>
  <c r="C62" i="3"/>
  <c r="D62" i="3" s="1"/>
  <c r="G65" i="2"/>
  <c r="D54" i="3"/>
  <c r="F7" i="2"/>
  <c r="G7" i="2" s="1"/>
  <c r="G12" i="2" s="1"/>
  <c r="D67" i="3" l="1"/>
  <c r="F91" i="2" s="1"/>
  <c r="G91" i="2" s="1"/>
  <c r="G92" i="2" s="1"/>
  <c r="G111" i="2" l="1"/>
  <c r="A7" i="1" s="1"/>
  <c r="C7" i="1" s="1"/>
  <c r="C11" i="1" l="1"/>
  <c r="E11" i="1" s="1"/>
</calcChain>
</file>

<file path=xl/sharedStrings.xml><?xml version="1.0" encoding="utf-8"?>
<sst xmlns="http://schemas.openxmlformats.org/spreadsheetml/2006/main" count="484" uniqueCount="237">
  <si>
    <t>DISTRICT CROP GVA CALCULATOR</t>
  </si>
  <si>
    <t>Officer workflow: 1) set District/Year and macro inputs below, 2) replace yellow crop/assumption cells, 3) read the green Adjusted District GVA.</t>
  </si>
  <si>
    <t>District</t>
  </si>
  <si>
    <t>Year</t>
  </si>
  <si>
    <t>Total Value of Output (Rs lakh)</t>
  </si>
  <si>
    <t>FISIM</t>
  </si>
  <si>
    <t>FISIM ratio</t>
  </si>
  <si>
    <t>Source formula: FISIM = ratio × unadjusted GVA</t>
  </si>
  <si>
    <t>Category</t>
  </si>
  <si>
    <t>A. CEREALS</t>
  </si>
  <si>
    <t>B. PULSES</t>
  </si>
  <si>
    <t>C. OIL SEEDS</t>
  </si>
  <si>
    <t>D. SUGARCANE &amp; GUR</t>
  </si>
  <si>
    <t>E. FIBRES</t>
  </si>
  <si>
    <t>F. DRUGS &amp; NARCOTICS</t>
  </si>
  <si>
    <t>G. CONDIMENTS &amp; SPICES</t>
  </si>
  <si>
    <t>H. FRUITS &amp; VEGETABLES</t>
  </si>
  <si>
    <t>I. OTHER MISC. CROPS</t>
  </si>
  <si>
    <t>J. BY-PRODUCTS</t>
  </si>
  <si>
    <t>K. KITCHEN GARDEN</t>
  </si>
  <si>
    <t>L. FLORICULTURE</t>
  </si>
  <si>
    <t>DISTRICT CROP DATA ENTRY &amp; VALUE OF OUTPUT</t>
  </si>
  <si>
    <t>Crop</t>
  </si>
  <si>
    <t>Unit / note</t>
  </si>
  <si>
    <t>Area ('000 ha)</t>
  </si>
  <si>
    <t>Production / Out Turn</t>
  </si>
  <si>
    <t>Avg. Price (Rs/unit)</t>
  </si>
  <si>
    <t>Value of Output (Rs lakh)</t>
  </si>
  <si>
    <t>Estimation / entry method</t>
  </si>
  <si>
    <t>Paddy less procurement</t>
  </si>
  <si>
    <t>Standard: '000 output × Rs/unit ÷ 100</t>
  </si>
  <si>
    <t>Price = weighted average of winter/summer/autumn paddy</t>
  </si>
  <si>
    <t>Paddy procurement</t>
  </si>
  <si>
    <t>Price = same weighted paddy price; source structure retained</t>
  </si>
  <si>
    <t>Wheat</t>
  </si>
  <si>
    <t>Direct officer input for quantity and price</t>
  </si>
  <si>
    <t>Maize</t>
  </si>
  <si>
    <t>Small Millets &amp; other Cereals</t>
  </si>
  <si>
    <t>Price = 75% of maize price</t>
  </si>
  <si>
    <t>A. CEREALS Subtotal</t>
  </si>
  <si>
    <t>Gram</t>
  </si>
  <si>
    <t>Arahar (Tur)</t>
  </si>
  <si>
    <t>Urid (Matikalai)</t>
  </si>
  <si>
    <t>Moong</t>
  </si>
  <si>
    <t>Masoor</t>
  </si>
  <si>
    <t>Peas</t>
  </si>
  <si>
    <t>Other Pulses</t>
  </si>
  <si>
    <t>Price = 85% of weighted Urid/Moong/Masoor price</t>
  </si>
  <si>
    <t>B. PULSES Subtotal</t>
  </si>
  <si>
    <t>Linseed</t>
  </si>
  <si>
    <t>Sesamum</t>
  </si>
  <si>
    <t>Groundnut</t>
  </si>
  <si>
    <t>Rape and Mustard</t>
  </si>
  <si>
    <t>Castor</t>
  </si>
  <si>
    <t>Coconut ('000' nuts)</t>
  </si>
  <si>
    <t>'000 nuts (source scaling retained)</t>
  </si>
  <si>
    <t>Nizer</t>
  </si>
  <si>
    <t>Other  Oilseed</t>
  </si>
  <si>
    <t>C. OIL SEEDS Subtotal</t>
  </si>
  <si>
    <t>Sugarcane</t>
  </si>
  <si>
    <t>Quantity estimated from sugarcane allocation rules</t>
  </si>
  <si>
    <t>Gur</t>
  </si>
  <si>
    <t>Gur quantity = 9.23% of residual sugarcane</t>
  </si>
  <si>
    <t>D. SUGARCANE &amp; GUR Subtotal</t>
  </si>
  <si>
    <t>Kapas (in Bales)</t>
  </si>
  <si>
    <t>'000 bales × Rs/bale ÷ 100</t>
  </si>
  <si>
    <t>Price estimated from Rs/Qtl × bale weight (shows zero while production is zero)</t>
  </si>
  <si>
    <t>Jute ( in Bales)</t>
  </si>
  <si>
    <t>Price = Jute Rs/Qtl × 180 kg/bale</t>
  </si>
  <si>
    <t>Mesta (in Bales)</t>
  </si>
  <si>
    <t>Price = Mesta Rs/Qtl × 180 kg/bale</t>
  </si>
  <si>
    <t>E. FIBRES Subtotal</t>
  </si>
  <si>
    <t>Tea</t>
  </si>
  <si>
    <t>Coffee</t>
  </si>
  <si>
    <t>Betel Leaf</t>
  </si>
  <si>
    <t>Source-specific quantity × price ÷ 100</t>
  </si>
  <si>
    <t>Tobacco Leaf</t>
  </si>
  <si>
    <t>Tobacco Steam</t>
  </si>
  <si>
    <t>Quantity = 82% of separate base quantity; price = 50% of base tobacco price</t>
  </si>
  <si>
    <t>Toddy</t>
  </si>
  <si>
    <t>F. DRUGS &amp; NARCOTICS Subtotal</t>
  </si>
  <si>
    <t>Dry Chillies</t>
  </si>
  <si>
    <t>Black Pepper</t>
  </si>
  <si>
    <t>Ginger</t>
  </si>
  <si>
    <t>Dry Turmaric</t>
  </si>
  <si>
    <t>Arecanut</t>
  </si>
  <si>
    <t>Price derived from 22 nuts/kg and price per 100 nuts</t>
  </si>
  <si>
    <t>Garlic</t>
  </si>
  <si>
    <t>Coriander</t>
  </si>
  <si>
    <t>Other Condiments &amp; Spices</t>
  </si>
  <si>
    <t>Price = 90% of weighted auxiliary condiment basket</t>
  </si>
  <si>
    <t>G. CONDIMENTS &amp; SPICES Subtotal</t>
  </si>
  <si>
    <t>Banana</t>
  </si>
  <si>
    <t>Price derived from 10 bananas/kg and price per 100</t>
  </si>
  <si>
    <t>Mango</t>
  </si>
  <si>
    <t>Cashewnut</t>
  </si>
  <si>
    <t>Aonla</t>
  </si>
  <si>
    <t>Papaya</t>
  </si>
  <si>
    <t>Assam Lemon</t>
  </si>
  <si>
    <t>Price derived from 10.72 fruits/kg and price per 100</t>
  </si>
  <si>
    <t>Orange</t>
  </si>
  <si>
    <t>Litchi</t>
  </si>
  <si>
    <t>Pine Apple</t>
  </si>
  <si>
    <t>Price derived from 1.30 fruits/kg and price per 100</t>
  </si>
  <si>
    <t>Guava</t>
  </si>
  <si>
    <t>Watermelon</t>
  </si>
  <si>
    <t>Jack Fruits</t>
  </si>
  <si>
    <t>Potato</t>
  </si>
  <si>
    <t>Sweet Potato</t>
  </si>
  <si>
    <t>Tapioca</t>
  </si>
  <si>
    <t>Price = 39.36% of potato price</t>
  </si>
  <si>
    <t>Onion</t>
  </si>
  <si>
    <t>Brinjal</t>
  </si>
  <si>
    <t>Cabbage</t>
  </si>
  <si>
    <t>Cauliflower</t>
  </si>
  <si>
    <t>Okra</t>
  </si>
  <si>
    <t>Tomato</t>
  </si>
  <si>
    <t>Bittergourd</t>
  </si>
  <si>
    <t>Carrot</t>
  </si>
  <si>
    <t>Cucumber</t>
  </si>
  <si>
    <t>Radish</t>
  </si>
  <si>
    <t>Beans</t>
  </si>
  <si>
    <t>Bottleguard</t>
  </si>
  <si>
    <t>Capsicum</t>
  </si>
  <si>
    <t>Parmal(Patal)</t>
  </si>
  <si>
    <t>Green Peas</t>
  </si>
  <si>
    <t>Other Vegetables</t>
  </si>
  <si>
    <t>Other Fruits</t>
  </si>
  <si>
    <t>Price = weighted average of selected fruit basket</t>
  </si>
  <si>
    <t>H. FRUITS &amp; VEGETABLES Subtotal</t>
  </si>
  <si>
    <t>Rubber</t>
  </si>
  <si>
    <t>Fodder</t>
  </si>
  <si>
    <t>Grass</t>
  </si>
  <si>
    <t>Area built from land-use components; production = area × grass yield</t>
  </si>
  <si>
    <t>Misc. Food Crops</t>
  </si>
  <si>
    <t>Misc. Non-Food Crops</t>
  </si>
  <si>
    <t>I. OTHER MISC. CROPS Subtotal</t>
  </si>
  <si>
    <t>J. BY-PRODUCTS Subtotal</t>
  </si>
  <si>
    <t>Kitchen Garden (Back yard)</t>
  </si>
  <si>
    <t>K. KITCHEN GARDEN Subtotal</t>
  </si>
  <si>
    <t>Cut Flower (in Lakh No.)</t>
  </si>
  <si>
    <t>Lakh flowers × Rs/no.</t>
  </si>
  <si>
    <t>Cut flower value uses quantity × price (no ÷100 scaling)</t>
  </si>
  <si>
    <t>Loose Flower(in  M.Tonne)</t>
  </si>
  <si>
    <t>'000 MT × Rs/MT ÷ 100</t>
  </si>
  <si>
    <t>L. FLORICULTURE Subtotal</t>
  </si>
  <si>
    <t>TOTAL VALUE OF OUTPUT</t>
  </si>
  <si>
    <t>ESTIMATION ASSUMPTIONS &amp; RATIOS</t>
  </si>
  <si>
    <t>Paddy weighted price calculation</t>
  </si>
  <si>
    <t>Season</t>
  </si>
  <si>
    <t>Production ('000 MT)</t>
  </si>
  <si>
    <t>Price (Rs/MT)</t>
  </si>
  <si>
    <t>Value (Rs lakh)</t>
  </si>
  <si>
    <t>Rice→Paddy factor (reference)</t>
  </si>
  <si>
    <t>Winter</t>
  </si>
  <si>
    <t>Summer</t>
  </si>
  <si>
    <t>Autumn</t>
  </si>
  <si>
    <t>Weighted average paddy price (Rs/MT)</t>
  </si>
  <si>
    <t>Core estimation ratios and quantities</t>
  </si>
  <si>
    <t>Rule / input</t>
  </si>
  <si>
    <t>Editable value</t>
  </si>
  <si>
    <t>Unit / meaning</t>
  </si>
  <si>
    <t>Small millets price as % of maize price</t>
  </si>
  <si>
    <t>ratio</t>
  </si>
  <si>
    <t>Other pulses price as % of weighted pulse price</t>
  </si>
  <si>
    <t>Other condiments price as % of weighted basket</t>
  </si>
  <si>
    <t>Tapioca price as % of potato price</t>
  </si>
  <si>
    <t>Tobacco steam production ratio</t>
  </si>
  <si>
    <t>Tobacco steam base quantity</t>
  </si>
  <si>
    <t>'000 MT</t>
  </si>
  <si>
    <t>Tobacco steam price factor</t>
  </si>
  <si>
    <t>Sugarcane used for chewing</t>
  </si>
  <si>
    <t>share of total</t>
  </si>
  <si>
    <t>Sugarcane used by mills</t>
  </si>
  <si>
    <t>Sugarcane used for khandchari etc.</t>
  </si>
  <si>
    <t>Sugarcane seed requirement</t>
  </si>
  <si>
    <t>tonnes per hectare</t>
  </si>
  <si>
    <t>Gur extraction from residual cane</t>
  </si>
  <si>
    <t>share of residual</t>
  </si>
  <si>
    <t>Grass yield rate</t>
  </si>
  <si>
    <t>MT per hectare</t>
  </si>
  <si>
    <t>Kitchen garden share (reference only)</t>
  </si>
  <si>
    <t>share of net area</t>
  </si>
  <si>
    <t>Unit-count based price conversions</t>
  </si>
  <si>
    <t>Item</t>
  </si>
  <si>
    <t>Nos. per kg</t>
  </si>
  <si>
    <t>Price per 100 nos. (Rs)</t>
  </si>
  <si>
    <t>Derived price per MT (Rs)</t>
  </si>
  <si>
    <t>Fibre bale price conversions</t>
  </si>
  <si>
    <t>Price (Rs/Qtl)</t>
  </si>
  <si>
    <t>Bale weight (kg)</t>
  </si>
  <si>
    <t>Derived Rs/bale</t>
  </si>
  <si>
    <t>Kapas</t>
  </si>
  <si>
    <t>Jute</t>
  </si>
  <si>
    <t>Mesta</t>
  </si>
  <si>
    <t>Other condiments &amp; spices weighted-price basket</t>
  </si>
  <si>
    <t>Production × Price</t>
  </si>
  <si>
    <t>Weighted basket price (Rs/MT)</t>
  </si>
  <si>
    <t>Other condiments estimated price (Rs/MT)</t>
  </si>
  <si>
    <t>Other fruits weighted-price basket</t>
  </si>
  <si>
    <t>Muskmelon</t>
  </si>
  <si>
    <t>Other fruits weighted price (Rs/MT)</t>
  </si>
  <si>
    <t>Grass area and production estimation</t>
  </si>
  <si>
    <t>Land-use component</t>
  </si>
  <si>
    <t>Base area (ha)</t>
  </si>
  <si>
    <t>Multiplier</t>
  </si>
  <si>
    <t>Effective area (ha)</t>
  </si>
  <si>
    <t>Permanent pastures</t>
  </si>
  <si>
    <t>Land under miscellaneous trees/groves</t>
  </si>
  <si>
    <t>Culturable waste land</t>
  </si>
  <si>
    <t>Fallow land</t>
  </si>
  <si>
    <t>Net area shown / other component</t>
  </si>
  <si>
    <t>Total effective grass area (ha)</t>
  </si>
  <si>
    <t>Grass area ('000 ha)</t>
  </si>
  <si>
    <t>Grass production ('000 MT)</t>
  </si>
  <si>
    <t>Kitchen garden area from net area shown</t>
  </si>
  <si>
    <t>Total Sugarcane Production ('000 MT)</t>
  </si>
  <si>
    <t>Tobacco steam base quantity ('000 MT)</t>
  </si>
  <si>
    <t>Tobacco steam base price (Rs/MT)</t>
  </si>
  <si>
    <t>Cotton</t>
  </si>
  <si>
    <t xml:space="preserve">Standard: Area* Value Per Hectare </t>
  </si>
  <si>
    <t xml:space="preserve">Area  under Cotton </t>
  </si>
  <si>
    <t>Value Per Hecatre</t>
  </si>
  <si>
    <t>Value Per Hectare of Cotton Byproduct</t>
  </si>
  <si>
    <t>INR</t>
  </si>
  <si>
    <t>Don’t Enter Any Value</t>
  </si>
  <si>
    <t>Input</t>
  </si>
  <si>
    <t>Total Input (in INR Lakhs)</t>
  </si>
  <si>
    <t>XXX</t>
  </si>
  <si>
    <t>XXXXX</t>
  </si>
  <si>
    <t>Crop GVA (Rs lakh) (Unadjusted)</t>
  </si>
  <si>
    <t>Adjusted District GVA (in INR Lakhs)</t>
  </si>
  <si>
    <t>Input values in fields highlighted in yellow and field highlighted in blue will be autopopulated</t>
  </si>
  <si>
    <t>Enter values in cells highlighted in yellow</t>
  </si>
  <si>
    <t>Net Sown Area</t>
  </si>
  <si>
    <t>Ratio Applied</t>
  </si>
  <si>
    <t>Area under Kitchen garden is ratio of total sown area. While to get value of output area in hectare is multiplied by value of output per hectare of fruits and vegetables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</si>
</sst>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1">
    <font>
      <sz val="11"/>
      <name val="Carlito"/>
    </font>
    <font>
      <b/>
      <sz val="16"/>
      <color rgb="FFFFFFFF"/>
      <name val="Carlito"/>
    </font>
    <font>
      <i/>
      <sz val="11"/>
      <color rgb="FF595959"/>
      <name val="Carlito"/>
    </font>
    <font>
      <b/>
      <sz val="11"/>
      <color rgb="FF1F1F1F"/>
      <name val="Carlito"/>
    </font>
    <font>
      <b/>
      <sz val="11"/>
      <color rgb="FFFFFFFF"/>
      <name val="Carlito"/>
    </font>
    <font>
      <sz val="11"/>
      <color rgb="FF7F6000"/>
      <name val="Carlito"/>
    </font>
    <font>
      <sz val="11"/>
      <color rgb="FF1F4E78"/>
      <name val="Carlito"/>
    </font>
    <font>
      <b/>
      <sz val="11"/>
      <color rgb="FF375623"/>
      <name val="Carlito"/>
    </font>
    <font>
      <b/>
      <sz val="11"/>
      <name val="Carlito"/>
    </font>
    <font>
      <b/>
      <sz val="16"/>
      <color rgb="FF274E13"/>
      <name val="Carlito"/>
    </font>
    <font>
      <b/>
      <sz val="11"/>
      <color rgb="FF7F6000"/>
      <name val="Carlito"/>
    </font>
  </fonts>
  <fills count="14">
    <fill>
      <patternFill patternType="none"/>
    </fill>
    <fill>
      <patternFill patternType="gray125"/>
    </fill>
    <fill>
      <patternFill patternType="solid">
        <fgColor rgb="FF1F4E78"/>
      </patternFill>
    </fill>
    <fill>
      <patternFill patternType="solid">
        <fgColor rgb="FFF2F2F2"/>
      </patternFill>
    </fill>
    <fill>
      <patternFill patternType="solid">
        <fgColor rgb="FFD9EAF7"/>
      </patternFill>
    </fill>
    <fill>
      <patternFill patternType="solid">
        <fgColor rgb="FF2F75B5"/>
      </patternFill>
    </fill>
    <fill>
      <patternFill patternType="solid">
        <fgColor rgb="FFFFF2CC"/>
      </patternFill>
    </fill>
    <fill>
      <patternFill patternType="solid">
        <fgColor rgb="FFDDEBF7"/>
      </patternFill>
    </fill>
    <fill>
      <patternFill patternType="solid">
        <fgColor rgb="FFE2F0D9"/>
      </patternFill>
    </fill>
    <fill>
      <patternFill patternType="solid">
        <fgColor rgb="FFE7E6E6"/>
      </patternFill>
    </fill>
    <fill>
      <patternFill patternType="solid">
        <fgColor rgb="FFC6E0B4"/>
      </patternFill>
    </fill>
    <fill>
      <patternFill patternType="solid">
        <fgColor theme="0"/>
        <bgColor indexed="64"/>
      </patternFill>
    </fill>
    <fill>
      <patternFill patternType="solid">
        <fgColor rgb="FFFF000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2" fillId="3" borderId="0" xfId="0" applyFont="1" applyFill="1" applyAlignment="1">
      <alignment wrapText="1"/>
    </xf>
    <xf numFmtId="0" fontId="4" fillId="5" borderId="0" xfId="0" applyFont="1" applyFill="1" applyAlignment="1">
      <alignment horizontal="center" vertical="center" wrapText="1"/>
    </xf>
    <xf numFmtId="164" fontId="4" fillId="5" borderId="0" xfId="0" applyNumberFormat="1" applyFont="1" applyFill="1" applyAlignment="1">
      <alignment horizontal="center" vertical="center" wrapText="1"/>
    </xf>
    <xf numFmtId="164" fontId="2" fillId="3" borderId="0" xfId="0" applyNumberFormat="1" applyFont="1" applyFill="1" applyAlignment="1">
      <alignment wrapText="1"/>
    </xf>
    <xf numFmtId="4" fontId="4" fillId="5" borderId="0" xfId="0" applyNumberFormat="1" applyFont="1" applyFill="1" applyAlignment="1">
      <alignment horizontal="center" vertical="center" wrapText="1"/>
    </xf>
    <xf numFmtId="0" fontId="0" fillId="0" borderId="0" xfId="0" applyAlignment="1">
      <alignment wrapText="1"/>
    </xf>
    <xf numFmtId="0" fontId="3" fillId="4" borderId="0" xfId="0" applyFont="1" applyFill="1" applyAlignment="1">
      <alignment vertical="center" wrapText="1"/>
    </xf>
    <xf numFmtId="164" fontId="5" fillId="6" borderId="0" xfId="0" applyNumberFormat="1" applyFont="1" applyFill="1" applyAlignment="1">
      <alignment wrapText="1"/>
    </xf>
    <xf numFmtId="164" fontId="6" fillId="7" borderId="0" xfId="0" applyNumberFormat="1" applyFont="1" applyFill="1" applyAlignment="1">
      <alignment wrapText="1"/>
    </xf>
    <xf numFmtId="0" fontId="5" fillId="6" borderId="0" xfId="0" applyFont="1" applyFill="1" applyAlignment="1">
      <alignment wrapText="1"/>
    </xf>
    <xf numFmtId="164" fontId="0" fillId="0" borderId="0" xfId="0" applyNumberFormat="1" applyAlignment="1">
      <alignment wrapText="1"/>
    </xf>
    <xf numFmtId="0" fontId="7" fillId="8" borderId="0" xfId="0" applyFont="1" applyFill="1" applyAlignment="1">
      <alignment wrapText="1"/>
    </xf>
    <xf numFmtId="4" fontId="7" fillId="8" borderId="0" xfId="0" applyNumberFormat="1" applyFont="1" applyFill="1" applyAlignment="1">
      <alignment wrapText="1"/>
    </xf>
    <xf numFmtId="4" fontId="0" fillId="0" borderId="0" xfId="0" applyNumberFormat="1" applyAlignment="1">
      <alignment wrapText="1"/>
    </xf>
    <xf numFmtId="4" fontId="3" fillId="4" borderId="0" xfId="0" applyNumberFormat="1" applyFont="1" applyFill="1" applyAlignment="1">
      <alignment vertical="center" wrapText="1"/>
    </xf>
    <xf numFmtId="10" fontId="5" fillId="6" borderId="0" xfId="0" applyNumberFormat="1" applyFont="1" applyFill="1" applyAlignment="1">
      <alignment wrapText="1"/>
    </xf>
    <xf numFmtId="4" fontId="6" fillId="7" borderId="0" xfId="0" applyNumberFormat="1" applyFont="1" applyFill="1" applyAlignment="1">
      <alignment wrapText="1"/>
    </xf>
    <xf numFmtId="165" fontId="7" fillId="8" borderId="0" xfId="0" applyNumberFormat="1" applyFont="1" applyFill="1" applyAlignment="1">
      <alignment wrapText="1"/>
    </xf>
    <xf numFmtId="165" fontId="0" fillId="0" borderId="0" xfId="0" applyNumberFormat="1" applyAlignment="1">
      <alignment wrapText="1"/>
    </xf>
    <xf numFmtId="165" fontId="3" fillId="4" borderId="0" xfId="0" applyNumberFormat="1" applyFont="1" applyFill="1" applyAlignment="1">
      <alignment vertical="center" wrapText="1"/>
    </xf>
    <xf numFmtId="165" fontId="5" fillId="6" borderId="0" xfId="0" applyNumberFormat="1" applyFont="1" applyFill="1" applyAlignment="1">
      <alignment wrapText="1"/>
    </xf>
    <xf numFmtId="4" fontId="5" fillId="6" borderId="0" xfId="0" applyNumberFormat="1" applyFont="1" applyFill="1" applyAlignment="1">
      <alignment wrapText="1"/>
    </xf>
    <xf numFmtId="0" fontId="8" fillId="9" borderId="0" xfId="0" applyFont="1" applyFill="1" applyAlignment="1">
      <alignment wrapText="1"/>
    </xf>
    <xf numFmtId="4" fontId="8" fillId="9" borderId="0" xfId="0" applyNumberFormat="1" applyFont="1" applyFill="1" applyAlignment="1">
      <alignment wrapText="1"/>
    </xf>
    <xf numFmtId="165" fontId="6" fillId="7" borderId="0" xfId="0" applyNumberFormat="1" applyFont="1" applyFill="1" applyAlignment="1">
      <alignment wrapText="1"/>
    </xf>
    <xf numFmtId="0" fontId="8" fillId="0" borderId="0" xfId="0" applyFont="1" applyAlignment="1">
      <alignment wrapText="1"/>
    </xf>
    <xf numFmtId="0" fontId="0" fillId="0" borderId="1" xfId="0" applyBorder="1" applyAlignment="1">
      <alignment wrapText="1"/>
    </xf>
    <xf numFmtId="10" fontId="5" fillId="11" borderId="1" xfId="0" applyNumberFormat="1" applyFont="1" applyFill="1" applyBorder="1" applyAlignment="1">
      <alignment wrapText="1"/>
    </xf>
    <xf numFmtId="164" fontId="0" fillId="0" borderId="1" xfId="0" applyNumberFormat="1" applyBorder="1" applyAlignment="1">
      <alignment wrapText="1"/>
    </xf>
    <xf numFmtId="164" fontId="5" fillId="11" borderId="1" xfId="0" applyNumberFormat="1" applyFont="1" applyFill="1" applyBorder="1" applyAlignment="1">
      <alignment wrapText="1"/>
    </xf>
    <xf numFmtId="3" fontId="5" fillId="11" borderId="1" xfId="0" applyNumberFormat="1" applyFont="1" applyFill="1" applyBorder="1" applyAlignment="1">
      <alignment wrapText="1"/>
    </xf>
    <xf numFmtId="4" fontId="4" fillId="11" borderId="0" xfId="0" applyNumberFormat="1" applyFont="1" applyFill="1" applyAlignment="1">
      <alignment horizontal="center" vertical="center" wrapText="1"/>
    </xf>
    <xf numFmtId="4" fontId="6" fillId="11" borderId="0" xfId="0" applyNumberFormat="1" applyFont="1" applyFill="1" applyAlignment="1">
      <alignment wrapText="1"/>
    </xf>
    <xf numFmtId="4" fontId="10" fillId="12" borderId="0" xfId="0" applyNumberFormat="1" applyFont="1" applyFill="1" applyAlignment="1">
      <alignment horizontal="center" wrapText="1"/>
    </xf>
    <xf numFmtId="2" fontId="5" fillId="6" borderId="0" xfId="0" applyNumberFormat="1" applyFont="1" applyFill="1" applyAlignment="1">
      <alignment wrapText="1"/>
    </xf>
    <xf numFmtId="164" fontId="5" fillId="13" borderId="0" xfId="0" applyNumberFormat="1" applyFont="1" applyFill="1" applyAlignment="1">
      <alignment wrapText="1"/>
    </xf>
    <xf numFmtId="165" fontId="5" fillId="13" borderId="0" xfId="0" applyNumberFormat="1" applyFont="1" applyFill="1" applyAlignment="1">
      <alignment wrapText="1"/>
    </xf>
    <xf numFmtId="0" fontId="8" fillId="9" borderId="0" xfId="0" applyFont="1" applyFill="1" applyAlignment="1">
      <alignment wrapText="1"/>
    </xf>
    <xf numFmtId="165" fontId="8" fillId="9" borderId="0" xfId="0" applyNumberFormat="1" applyFont="1" applyFill="1" applyAlignment="1">
      <alignment wrapText="1"/>
    </xf>
    <xf numFmtId="4" fontId="8" fillId="9" borderId="0" xfId="0" applyNumberFormat="1" applyFont="1" applyFill="1" applyAlignment="1">
      <alignment wrapText="1"/>
    </xf>
    <xf numFmtId="0" fontId="7" fillId="8" borderId="0" xfId="0" applyFont="1" applyFill="1" applyAlignment="1">
      <alignment wrapText="1"/>
    </xf>
    <xf numFmtId="165" fontId="7" fillId="8" borderId="0" xfId="0" applyNumberFormat="1" applyFont="1" applyFill="1" applyAlignment="1">
      <alignment wrapText="1"/>
    </xf>
    <xf numFmtId="4" fontId="7" fillId="8" borderId="0" xfId="0" applyNumberFormat="1" applyFont="1" applyFill="1" applyAlignment="1">
      <alignment wrapText="1"/>
    </xf>
    <xf numFmtId="0" fontId="3" fillId="4" borderId="0" xfId="0" applyFont="1" applyFill="1" applyAlignment="1">
      <alignment vertical="center" wrapText="1"/>
    </xf>
    <xf numFmtId="165" fontId="3" fillId="4" borderId="0" xfId="0" applyNumberFormat="1" applyFont="1" applyFill="1" applyAlignment="1">
      <alignment vertical="center" wrapText="1"/>
    </xf>
    <xf numFmtId="4" fontId="3" fillId="4" borderId="0" xfId="0" applyNumberFormat="1" applyFont="1" applyFill="1" applyAlignment="1">
      <alignment vertical="center" wrapText="1"/>
    </xf>
    <xf numFmtId="0" fontId="1" fillId="2" borderId="0" xfId="0" applyFont="1" applyFill="1" applyAlignment="1">
      <alignment horizontal="center" vertical="center" wrapText="1"/>
    </xf>
    <xf numFmtId="0" fontId="2" fillId="3" borderId="0" xfId="0" applyFont="1" applyFill="1" applyAlignment="1">
      <alignment wrapText="1"/>
    </xf>
    <xf numFmtId="4" fontId="6" fillId="11" borderId="0" xfId="0" applyNumberFormat="1" applyFont="1" applyFill="1" applyAlignment="1">
      <alignment wrapText="1"/>
    </xf>
    <xf numFmtId="4" fontId="6" fillId="7" borderId="0" xfId="0" applyNumberFormat="1" applyFont="1" applyFill="1" applyAlignment="1">
      <alignment wrapText="1"/>
    </xf>
    <xf numFmtId="4" fontId="9" fillId="10" borderId="0" xfId="0" applyNumberFormat="1" applyFont="1" applyFill="1" applyAlignment="1">
      <alignment horizontal="center" vertical="center" wrapText="1"/>
    </xf>
    <xf numFmtId="0" fontId="3" fillId="11" borderId="0" xfId="0" applyFont="1" applyFill="1" applyAlignment="1">
      <alignment vertical="center" wrapText="1"/>
    </xf>
    <xf numFmtId="164" fontId="7" fillId="8" borderId="0" xfId="0" applyNumberFormat="1" applyFont="1" applyFill="1" applyAlignment="1">
      <alignment wrapText="1"/>
    </xf>
    <xf numFmtId="164" fontId="3" fillId="4"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workbookViewId="0">
      <selection activeCell="C10" sqref="C10:D10"/>
    </sheetView>
  </sheetViews>
  <sheetFormatPr defaultRowHeight="14"/>
  <cols>
    <col min="1" max="1" width="31" customWidth="1"/>
    <col min="2" max="2" width="18" customWidth="1"/>
    <col min="3" max="3" width="34" customWidth="1"/>
    <col min="4" max="6" width="20" customWidth="1"/>
    <col min="7" max="8" width="4" customWidth="1"/>
  </cols>
  <sheetData>
    <row r="1" spans="1:8" ht="20">
      <c r="A1" s="47" t="s">
        <v>0</v>
      </c>
      <c r="B1" s="47"/>
      <c r="C1" s="47"/>
      <c r="D1" s="47"/>
      <c r="E1" s="47"/>
      <c r="F1" s="47"/>
      <c r="G1" s="47"/>
      <c r="H1" s="47"/>
    </row>
    <row r="2" spans="1:8" ht="14.5">
      <c r="A2" s="48" t="s">
        <v>1</v>
      </c>
      <c r="B2" s="48"/>
      <c r="C2" s="48"/>
      <c r="D2" s="48"/>
      <c r="E2" s="48"/>
      <c r="F2" s="48"/>
      <c r="G2" s="48"/>
      <c r="H2" s="48"/>
    </row>
    <row r="3" spans="1:8">
      <c r="A3" s="6"/>
      <c r="B3" s="6"/>
      <c r="C3" s="6"/>
      <c r="D3" s="6"/>
      <c r="E3" s="6"/>
      <c r="F3" s="6"/>
      <c r="G3" s="6"/>
      <c r="H3" s="6"/>
    </row>
    <row r="4" spans="1:8">
      <c r="A4" s="7" t="s">
        <v>2</v>
      </c>
      <c r="B4" s="10" t="s">
        <v>228</v>
      </c>
      <c r="C4" s="6"/>
      <c r="D4" s="7" t="s">
        <v>3</v>
      </c>
      <c r="E4" s="10" t="s">
        <v>229</v>
      </c>
      <c r="F4" s="6"/>
      <c r="G4" s="6"/>
      <c r="H4" s="6"/>
    </row>
    <row r="5" spans="1:8">
      <c r="A5" s="6"/>
      <c r="B5" s="6"/>
      <c r="C5" s="6"/>
      <c r="D5" s="6"/>
      <c r="E5" s="6"/>
      <c r="F5" s="6"/>
      <c r="G5" s="6"/>
      <c r="H5" s="6"/>
    </row>
    <row r="6" spans="1:8">
      <c r="A6" s="44" t="s">
        <v>4</v>
      </c>
      <c r="B6" s="44"/>
      <c r="C6" s="44" t="s">
        <v>230</v>
      </c>
      <c r="D6" s="44"/>
      <c r="E6" s="44"/>
      <c r="F6" s="44"/>
      <c r="G6" s="6"/>
      <c r="H6" s="6"/>
    </row>
    <row r="7" spans="1:8">
      <c r="A7" s="43">
        <f>'Enter Values'!G111</f>
        <v>222249.17038756885</v>
      </c>
      <c r="B7" s="43"/>
      <c r="C7" s="43">
        <f>A7-B15</f>
        <v>212249.17038756885</v>
      </c>
      <c r="D7" s="43"/>
      <c r="E7" s="43"/>
      <c r="F7" s="43"/>
      <c r="G7" s="6"/>
      <c r="H7" s="6"/>
    </row>
    <row r="8" spans="1:8">
      <c r="A8" s="43"/>
      <c r="B8" s="43"/>
      <c r="C8" s="43"/>
      <c r="D8" s="43"/>
      <c r="E8" s="43"/>
      <c r="F8" s="43"/>
      <c r="G8" s="6"/>
      <c r="H8" s="6"/>
    </row>
    <row r="9" spans="1:8">
      <c r="A9" s="6"/>
      <c r="B9" s="6"/>
      <c r="C9" s="6"/>
      <c r="D9" s="6"/>
      <c r="E9" s="6"/>
      <c r="F9" s="6"/>
      <c r="G9" s="6"/>
      <c r="H9" s="6"/>
    </row>
    <row r="10" spans="1:8">
      <c r="A10" s="52"/>
      <c r="B10" s="52"/>
      <c r="C10" s="44" t="s">
        <v>5</v>
      </c>
      <c r="D10" s="44"/>
      <c r="E10" s="44" t="s">
        <v>231</v>
      </c>
      <c r="F10" s="44"/>
      <c r="G10" s="6"/>
      <c r="H10" s="6"/>
    </row>
    <row r="11" spans="1:8">
      <c r="A11" s="49"/>
      <c r="B11" s="49"/>
      <c r="C11" s="50">
        <f>C7*B16</f>
        <v>12289.226965440237</v>
      </c>
      <c r="D11" s="50"/>
      <c r="E11" s="51">
        <f>C7-C11</f>
        <v>199959.94342212862</v>
      </c>
      <c r="F11" s="51"/>
      <c r="G11" s="6"/>
      <c r="H11" s="6"/>
    </row>
    <row r="12" spans="1:8">
      <c r="A12" s="49"/>
      <c r="B12" s="49"/>
      <c r="C12" s="50"/>
      <c r="D12" s="50"/>
      <c r="E12" s="51"/>
      <c r="F12" s="51"/>
      <c r="G12" s="6"/>
      <c r="H12" s="6"/>
    </row>
    <row r="13" spans="1:8">
      <c r="A13" s="6"/>
      <c r="B13" s="6"/>
      <c r="C13" s="6"/>
      <c r="D13" s="6"/>
      <c r="E13" s="6"/>
      <c r="F13" s="6"/>
      <c r="G13" s="6"/>
      <c r="H13" s="6"/>
    </row>
    <row r="14" spans="1:8">
      <c r="A14" s="44" t="s">
        <v>226</v>
      </c>
      <c r="B14" s="44"/>
      <c r="C14" s="44"/>
      <c r="D14" s="44"/>
      <c r="E14" s="44"/>
      <c r="F14" s="44"/>
      <c r="G14" s="6"/>
      <c r="H14" s="6"/>
    </row>
    <row r="15" spans="1:8" ht="14.5">
      <c r="A15" s="26" t="s">
        <v>227</v>
      </c>
      <c r="B15" s="35">
        <v>10000</v>
      </c>
      <c r="C15" s="1"/>
      <c r="D15" s="6"/>
      <c r="E15" s="6"/>
      <c r="F15" s="6"/>
      <c r="G15" s="6"/>
      <c r="H15" s="6"/>
    </row>
    <row r="16" spans="1:8" ht="29">
      <c r="A16" s="26" t="s">
        <v>6</v>
      </c>
      <c r="B16" s="16">
        <v>5.79E-2</v>
      </c>
      <c r="C16" s="1" t="s">
        <v>7</v>
      </c>
      <c r="D16" s="6"/>
      <c r="E16" s="6"/>
      <c r="F16" s="6"/>
      <c r="G16" s="6"/>
      <c r="H16" s="6"/>
    </row>
  </sheetData>
  <mergeCells count="15">
    <mergeCell ref="A1:H1"/>
    <mergeCell ref="A2:H2"/>
    <mergeCell ref="A6:B6"/>
    <mergeCell ref="C6:D6"/>
    <mergeCell ref="E6:F6"/>
    <mergeCell ref="A11:B12"/>
    <mergeCell ref="C11:D12"/>
    <mergeCell ref="E11:F12"/>
    <mergeCell ref="A14:F14"/>
    <mergeCell ref="A7:B8"/>
    <mergeCell ref="C7:D8"/>
    <mergeCell ref="E7:F8"/>
    <mergeCell ref="A10:B10"/>
    <mergeCell ref="C10:D10"/>
    <mergeCell ref="E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1"/>
  <sheetViews>
    <sheetView topLeftCell="A96" zoomScale="78" zoomScaleNormal="78" workbookViewId="0">
      <selection activeCell="A105" sqref="A105:F105"/>
    </sheetView>
  </sheetViews>
  <sheetFormatPr defaultRowHeight="14"/>
  <cols>
    <col min="1" max="1" width="23" customWidth="1"/>
    <col min="2" max="3" width="28" customWidth="1"/>
    <col min="4" max="7" width="17" customWidth="1"/>
    <col min="8" max="8" width="42" customWidth="1"/>
    <col min="9" max="9" width="14" customWidth="1"/>
  </cols>
  <sheetData>
    <row r="1" spans="1:8" ht="20">
      <c r="A1" s="47" t="s">
        <v>21</v>
      </c>
      <c r="B1" s="47"/>
      <c r="C1" s="47"/>
      <c r="D1" s="47"/>
      <c r="E1" s="47"/>
      <c r="F1" s="47"/>
      <c r="G1" s="47"/>
      <c r="H1" s="47"/>
    </row>
    <row r="2" spans="1:8" ht="14.5">
      <c r="A2" s="48" t="s">
        <v>232</v>
      </c>
      <c r="B2" s="48"/>
      <c r="C2" s="48"/>
      <c r="D2" s="48"/>
      <c r="E2" s="48"/>
      <c r="F2" s="48"/>
      <c r="G2" s="48"/>
      <c r="H2" s="48"/>
    </row>
    <row r="3" spans="1:8">
      <c r="A3" s="6"/>
      <c r="B3" s="6"/>
      <c r="C3" s="6"/>
      <c r="D3" s="6"/>
      <c r="E3" s="6"/>
      <c r="F3" s="6"/>
      <c r="G3" s="6"/>
      <c r="H3" s="6"/>
    </row>
    <row r="4" spans="1:8" ht="28">
      <c r="A4" s="2" t="s">
        <v>8</v>
      </c>
      <c r="B4" s="2" t="s">
        <v>22</v>
      </c>
      <c r="C4" s="2" t="s">
        <v>23</v>
      </c>
      <c r="D4" s="2" t="s">
        <v>24</v>
      </c>
      <c r="E4" s="2" t="s">
        <v>25</v>
      </c>
      <c r="F4" s="2" t="s">
        <v>26</v>
      </c>
      <c r="G4" s="2" t="s">
        <v>27</v>
      </c>
      <c r="H4" s="2" t="s">
        <v>28</v>
      </c>
    </row>
    <row r="5" spans="1:8">
      <c r="A5" s="6"/>
      <c r="B5" s="6"/>
      <c r="C5" s="6"/>
      <c r="D5" s="19"/>
      <c r="E5" s="19"/>
      <c r="F5" s="14"/>
      <c r="G5" s="14"/>
      <c r="H5" s="6"/>
    </row>
    <row r="6" spans="1:8">
      <c r="A6" s="44" t="s">
        <v>9</v>
      </c>
      <c r="B6" s="44"/>
      <c r="C6" s="44"/>
      <c r="D6" s="45"/>
      <c r="E6" s="45"/>
      <c r="F6" s="46"/>
      <c r="G6" s="46"/>
      <c r="H6" s="44"/>
    </row>
    <row r="7" spans="1:8" ht="28">
      <c r="A7" s="6" t="s">
        <v>9</v>
      </c>
      <c r="B7" s="6" t="s">
        <v>29</v>
      </c>
      <c r="C7" s="6" t="s">
        <v>30</v>
      </c>
      <c r="D7" s="21">
        <v>38.31</v>
      </c>
      <c r="E7" s="21">
        <v>160.59</v>
      </c>
      <c r="F7" s="17">
        <f>'Ratios Applied'!$D$10</f>
        <v>15239.77616847454</v>
      </c>
      <c r="G7" s="17">
        <f>E7*F7/100</f>
        <v>24473.556548953267</v>
      </c>
      <c r="H7" s="6" t="s">
        <v>31</v>
      </c>
    </row>
    <row r="8" spans="1:8" ht="28">
      <c r="A8" s="6" t="s">
        <v>9</v>
      </c>
      <c r="B8" s="6" t="s">
        <v>32</v>
      </c>
      <c r="C8" s="6" t="s">
        <v>30</v>
      </c>
      <c r="D8" s="21">
        <v>0</v>
      </c>
      <c r="E8" s="21">
        <v>4.8789999999999996</v>
      </c>
      <c r="F8" s="17">
        <f>'Ratios Applied'!$D$10</f>
        <v>15239.77616847454</v>
      </c>
      <c r="G8" s="17">
        <f>E8*F8/100</f>
        <v>743.54867925987276</v>
      </c>
      <c r="H8" s="6" t="s">
        <v>33</v>
      </c>
    </row>
    <row r="9" spans="1:8" ht="28">
      <c r="A9" s="6" t="s">
        <v>9</v>
      </c>
      <c r="B9" s="6" t="s">
        <v>34</v>
      </c>
      <c r="C9" s="6" t="s">
        <v>30</v>
      </c>
      <c r="D9" s="21">
        <v>0.14799999999999999</v>
      </c>
      <c r="E9" s="21">
        <v>0.21299999999999999</v>
      </c>
      <c r="F9" s="22">
        <v>30056.6</v>
      </c>
      <c r="G9" s="17">
        <f>E9*F9/100</f>
        <v>64.020557999999994</v>
      </c>
      <c r="H9" s="6" t="s">
        <v>35</v>
      </c>
    </row>
    <row r="10" spans="1:8" ht="28">
      <c r="A10" s="6" t="s">
        <v>9</v>
      </c>
      <c r="B10" s="6" t="s">
        <v>36</v>
      </c>
      <c r="C10" s="6" t="s">
        <v>30</v>
      </c>
      <c r="D10" s="21">
        <v>3.8010000000000002</v>
      </c>
      <c r="E10" s="21">
        <v>15.436</v>
      </c>
      <c r="F10" s="22">
        <v>12805</v>
      </c>
      <c r="G10" s="17">
        <f>E10*F10/100</f>
        <v>1976.5798000000002</v>
      </c>
      <c r="H10" s="6" t="s">
        <v>35</v>
      </c>
    </row>
    <row r="11" spans="1:8" ht="28">
      <c r="A11" s="6" t="s">
        <v>9</v>
      </c>
      <c r="B11" s="6" t="s">
        <v>37</v>
      </c>
      <c r="C11" s="6" t="s">
        <v>30</v>
      </c>
      <c r="D11" s="21">
        <v>0.32700000000000001</v>
      </c>
      <c r="E11" s="21">
        <v>0.34200000000000003</v>
      </c>
      <c r="F11" s="17">
        <f>F10*'Ratios Applied'!$B$14</f>
        <v>9603.75</v>
      </c>
      <c r="G11" s="17">
        <f>E11*F11/100</f>
        <v>32.844825</v>
      </c>
      <c r="H11" s="6" t="s">
        <v>38</v>
      </c>
    </row>
    <row r="12" spans="1:8">
      <c r="A12" s="38" t="s">
        <v>39</v>
      </c>
      <c r="B12" s="38"/>
      <c r="C12" s="38"/>
      <c r="D12" s="39"/>
      <c r="E12" s="39"/>
      <c r="F12" s="40"/>
      <c r="G12" s="24">
        <f>SUM(G7:G11)</f>
        <v>27290.550411213138</v>
      </c>
      <c r="H12" s="23"/>
    </row>
    <row r="13" spans="1:8">
      <c r="A13" s="44" t="s">
        <v>10</v>
      </c>
      <c r="B13" s="44"/>
      <c r="C13" s="44"/>
      <c r="D13" s="45"/>
      <c r="E13" s="45"/>
      <c r="F13" s="46"/>
      <c r="G13" s="46"/>
      <c r="H13" s="44"/>
    </row>
    <row r="14" spans="1:8" ht="28">
      <c r="A14" s="6" t="s">
        <v>10</v>
      </c>
      <c r="B14" s="6" t="s">
        <v>40</v>
      </c>
      <c r="C14" s="6" t="s">
        <v>30</v>
      </c>
      <c r="D14" s="21">
        <v>0.08</v>
      </c>
      <c r="E14" s="21">
        <v>5.3999999999999999E-2</v>
      </c>
      <c r="F14" s="22">
        <v>49471.7</v>
      </c>
      <c r="G14" s="17">
        <f t="shared" ref="G14:G20" si="0">E14*F14/100</f>
        <v>26.714717999999998</v>
      </c>
      <c r="H14" s="6" t="s">
        <v>35</v>
      </c>
    </row>
    <row r="15" spans="1:8" ht="28">
      <c r="A15" s="6" t="s">
        <v>10</v>
      </c>
      <c r="B15" s="6" t="s">
        <v>41</v>
      </c>
      <c r="C15" s="6" t="s">
        <v>30</v>
      </c>
      <c r="D15" s="21">
        <v>0.25600000000000001</v>
      </c>
      <c r="E15" s="21">
        <v>0.19500000000000001</v>
      </c>
      <c r="F15" s="22">
        <v>78116.5</v>
      </c>
      <c r="G15" s="17">
        <f t="shared" si="0"/>
        <v>152.32717500000001</v>
      </c>
      <c r="H15" s="6" t="s">
        <v>35</v>
      </c>
    </row>
    <row r="16" spans="1:8" ht="28">
      <c r="A16" s="6" t="s">
        <v>10</v>
      </c>
      <c r="B16" s="6" t="s">
        <v>42</v>
      </c>
      <c r="C16" s="6" t="s">
        <v>30</v>
      </c>
      <c r="D16" s="21">
        <v>1.7090000000000001</v>
      </c>
      <c r="E16" s="21">
        <v>1.8180000000000001</v>
      </c>
      <c r="F16" s="22">
        <v>48263</v>
      </c>
      <c r="G16" s="17">
        <f t="shared" si="0"/>
        <v>877.4213400000001</v>
      </c>
      <c r="H16" s="6" t="s">
        <v>35</v>
      </c>
    </row>
    <row r="17" spans="1:8" ht="28">
      <c r="A17" s="6" t="s">
        <v>10</v>
      </c>
      <c r="B17" s="6" t="s">
        <v>43</v>
      </c>
      <c r="C17" s="6" t="s">
        <v>30</v>
      </c>
      <c r="D17" s="21">
        <v>0.49199999999999999</v>
      </c>
      <c r="E17" s="21">
        <v>0.27500000000000002</v>
      </c>
      <c r="F17" s="22">
        <v>84203.5</v>
      </c>
      <c r="G17" s="17">
        <f t="shared" si="0"/>
        <v>231.55962500000001</v>
      </c>
      <c r="H17" s="6" t="s">
        <v>35</v>
      </c>
    </row>
    <row r="18" spans="1:8" ht="28">
      <c r="A18" s="6" t="s">
        <v>10</v>
      </c>
      <c r="B18" s="6" t="s">
        <v>44</v>
      </c>
      <c r="C18" s="6" t="s">
        <v>30</v>
      </c>
      <c r="D18" s="21">
        <v>2.5070000000000001</v>
      </c>
      <c r="E18" s="21">
        <v>1.129</v>
      </c>
      <c r="F18" s="22">
        <v>84063.3</v>
      </c>
      <c r="G18" s="17">
        <f t="shared" si="0"/>
        <v>949.074657</v>
      </c>
      <c r="H18" s="6" t="s">
        <v>35</v>
      </c>
    </row>
    <row r="19" spans="1:8" ht="28">
      <c r="A19" s="6" t="s">
        <v>10</v>
      </c>
      <c r="B19" s="6" t="s">
        <v>45</v>
      </c>
      <c r="C19" s="6" t="s">
        <v>30</v>
      </c>
      <c r="D19" s="21">
        <v>0.35</v>
      </c>
      <c r="E19" s="21">
        <v>0.42</v>
      </c>
      <c r="F19" s="22">
        <v>40408.400000000001</v>
      </c>
      <c r="G19" s="17">
        <f t="shared" si="0"/>
        <v>169.71527999999998</v>
      </c>
      <c r="H19" s="6" t="s">
        <v>35</v>
      </c>
    </row>
    <row r="20" spans="1:8" ht="28">
      <c r="A20" s="6" t="s">
        <v>10</v>
      </c>
      <c r="B20" s="6" t="s">
        <v>46</v>
      </c>
      <c r="C20" s="6" t="s">
        <v>30</v>
      </c>
      <c r="D20" s="21">
        <v>0.48</v>
      </c>
      <c r="E20" s="21">
        <v>0.26900000000000002</v>
      </c>
      <c r="F20" s="17">
        <f>IF((E16+E17+E18)=0,0,((E16*F16)+(E17*F17)+(E18*F18))/(E16+E17+E18)*'Ratios Applied'!$B$15)</f>
        <v>54293.832361887027</v>
      </c>
      <c r="G20" s="17">
        <f t="shared" si="0"/>
        <v>146.0504090534761</v>
      </c>
      <c r="H20" s="6" t="s">
        <v>47</v>
      </c>
    </row>
    <row r="21" spans="1:8">
      <c r="A21" s="38" t="s">
        <v>48</v>
      </c>
      <c r="B21" s="38"/>
      <c r="C21" s="38"/>
      <c r="D21" s="39"/>
      <c r="E21" s="39"/>
      <c r="F21" s="40"/>
      <c r="G21" s="24">
        <f>SUM(G14:G20)</f>
        <v>2552.8632040534762</v>
      </c>
      <c r="H21" s="23"/>
    </row>
    <row r="22" spans="1:8">
      <c r="A22" s="44" t="s">
        <v>11</v>
      </c>
      <c r="B22" s="44"/>
      <c r="C22" s="44"/>
      <c r="D22" s="45"/>
      <c r="E22" s="45"/>
      <c r="F22" s="46"/>
      <c r="G22" s="46"/>
      <c r="H22" s="44"/>
    </row>
    <row r="23" spans="1:8" ht="28">
      <c r="A23" s="6" t="s">
        <v>11</v>
      </c>
      <c r="B23" s="6" t="s">
        <v>49</v>
      </c>
      <c r="C23" s="6" t="s">
        <v>30</v>
      </c>
      <c r="D23" s="21">
        <v>0.222</v>
      </c>
      <c r="E23" s="21">
        <v>0.13100000000000001</v>
      </c>
      <c r="F23" s="22">
        <v>42970.5</v>
      </c>
      <c r="G23" s="17">
        <f t="shared" ref="G23:G30" si="1">E23*F23/100</f>
        <v>56.291355000000003</v>
      </c>
      <c r="H23" s="6" t="s">
        <v>35</v>
      </c>
    </row>
    <row r="24" spans="1:8" ht="28">
      <c r="A24" s="6" t="s">
        <v>11</v>
      </c>
      <c r="B24" s="6" t="s">
        <v>50</v>
      </c>
      <c r="C24" s="6" t="s">
        <v>30</v>
      </c>
      <c r="D24" s="21">
        <v>0.51300000000000001</v>
      </c>
      <c r="E24" s="21">
        <v>0.255</v>
      </c>
      <c r="F24" s="22">
        <v>82193.7</v>
      </c>
      <c r="G24" s="17">
        <f t="shared" si="1"/>
        <v>209.59393499999999</v>
      </c>
      <c r="H24" s="6" t="s">
        <v>35</v>
      </c>
    </row>
    <row r="25" spans="1:8" ht="28">
      <c r="A25" s="6" t="s">
        <v>11</v>
      </c>
      <c r="B25" s="6" t="s">
        <v>51</v>
      </c>
      <c r="C25" s="6" t="s">
        <v>30</v>
      </c>
      <c r="D25" s="21">
        <v>0</v>
      </c>
      <c r="E25" s="21">
        <v>0</v>
      </c>
      <c r="F25" s="22">
        <v>0</v>
      </c>
      <c r="G25" s="17">
        <f t="shared" si="1"/>
        <v>0</v>
      </c>
      <c r="H25" s="6" t="s">
        <v>35</v>
      </c>
    </row>
    <row r="26" spans="1:8" ht="28">
      <c r="A26" s="6" t="s">
        <v>11</v>
      </c>
      <c r="B26" s="6" t="s">
        <v>52</v>
      </c>
      <c r="C26" s="6" t="s">
        <v>30</v>
      </c>
      <c r="D26" s="21">
        <v>14.162000000000001</v>
      </c>
      <c r="E26" s="21">
        <v>12.15</v>
      </c>
      <c r="F26" s="22">
        <v>46415.1</v>
      </c>
      <c r="G26" s="17">
        <f t="shared" si="1"/>
        <v>5639.4346499999992</v>
      </c>
      <c r="H26" s="6" t="s">
        <v>35</v>
      </c>
    </row>
    <row r="27" spans="1:8" ht="28">
      <c r="A27" s="6" t="s">
        <v>11</v>
      </c>
      <c r="B27" s="6" t="s">
        <v>53</v>
      </c>
      <c r="C27" s="6" t="s">
        <v>30</v>
      </c>
      <c r="D27" s="21">
        <v>0.01</v>
      </c>
      <c r="E27" s="21">
        <v>6.0000000000000001E-3</v>
      </c>
      <c r="F27" s="22">
        <v>81507.8</v>
      </c>
      <c r="G27" s="17">
        <f t="shared" si="1"/>
        <v>4.8904680000000003</v>
      </c>
      <c r="H27" s="6" t="s">
        <v>35</v>
      </c>
    </row>
    <row r="28" spans="1:8" ht="28">
      <c r="A28" s="6" t="s">
        <v>11</v>
      </c>
      <c r="B28" s="6" t="s">
        <v>54</v>
      </c>
      <c r="C28" s="6" t="s">
        <v>55</v>
      </c>
      <c r="D28" s="21">
        <v>0.42</v>
      </c>
      <c r="E28" s="21">
        <v>1.8089999999999999</v>
      </c>
      <c r="F28" s="22">
        <v>20200</v>
      </c>
      <c r="G28" s="17">
        <f t="shared" si="1"/>
        <v>365.41799999999995</v>
      </c>
      <c r="H28" s="6" t="s">
        <v>35</v>
      </c>
    </row>
    <row r="29" spans="1:8" ht="28">
      <c r="A29" s="6" t="s">
        <v>11</v>
      </c>
      <c r="B29" s="6" t="s">
        <v>56</v>
      </c>
      <c r="C29" s="6" t="s">
        <v>30</v>
      </c>
      <c r="D29" s="21">
        <v>0.27400000000000002</v>
      </c>
      <c r="E29" s="21">
        <v>0.11600000000000001</v>
      </c>
      <c r="F29" s="22">
        <v>44126.3</v>
      </c>
      <c r="G29" s="17">
        <f t="shared" si="1"/>
        <v>51.186508000000003</v>
      </c>
      <c r="H29" s="6" t="s">
        <v>35</v>
      </c>
    </row>
    <row r="30" spans="1:8" ht="28">
      <c r="A30" s="6" t="s">
        <v>11</v>
      </c>
      <c r="B30" s="6" t="s">
        <v>57</v>
      </c>
      <c r="C30" s="6" t="s">
        <v>30</v>
      </c>
      <c r="D30" s="21">
        <v>0</v>
      </c>
      <c r="E30" s="21">
        <v>0</v>
      </c>
      <c r="F30" s="22">
        <v>0</v>
      </c>
      <c r="G30" s="17">
        <f t="shared" si="1"/>
        <v>0</v>
      </c>
      <c r="H30" s="6" t="s">
        <v>35</v>
      </c>
    </row>
    <row r="31" spans="1:8">
      <c r="A31" s="38" t="s">
        <v>58</v>
      </c>
      <c r="B31" s="38"/>
      <c r="C31" s="38"/>
      <c r="D31" s="39"/>
      <c r="E31" s="39"/>
      <c r="F31" s="40"/>
      <c r="G31" s="24">
        <f>SUM(G23:G30)</f>
        <v>6326.8149159999984</v>
      </c>
      <c r="H31" s="23"/>
    </row>
    <row r="32" spans="1:8" ht="28">
      <c r="A32" s="7" t="s">
        <v>12</v>
      </c>
      <c r="B32" s="7"/>
      <c r="C32" s="7" t="s">
        <v>216</v>
      </c>
      <c r="D32" s="20">
        <v>1.738</v>
      </c>
      <c r="E32" s="20"/>
      <c r="F32" s="15"/>
      <c r="G32" s="15"/>
      <c r="H32" s="7"/>
    </row>
    <row r="33" spans="1:10" ht="28">
      <c r="A33" s="6" t="s">
        <v>12</v>
      </c>
      <c r="B33" s="6" t="s">
        <v>59</v>
      </c>
      <c r="C33" s="6" t="s">
        <v>30</v>
      </c>
      <c r="D33" s="21">
        <v>3.9E-2</v>
      </c>
      <c r="E33" s="25">
        <f>D32*'Ratios Applied'!$B$21+D32*'Ratios Applied'!$B$22+D32*'Ratios Applied'!$B$23+D33*'Ratios Applied'!$B$24</f>
        <v>0.19495560000000001</v>
      </c>
      <c r="F33" s="22">
        <v>3982</v>
      </c>
      <c r="G33" s="17">
        <f>E33*F33/100</f>
        <v>7.7631319919999999</v>
      </c>
      <c r="H33" s="6" t="s">
        <v>60</v>
      </c>
    </row>
    <row r="34" spans="1:10" ht="28">
      <c r="A34" s="6" t="s">
        <v>12</v>
      </c>
      <c r="B34" s="6" t="s">
        <v>61</v>
      </c>
      <c r="C34" s="6" t="s">
        <v>30</v>
      </c>
      <c r="D34" s="21">
        <v>0</v>
      </c>
      <c r="E34" s="25">
        <f>(D32-E33)*'Ratios Applied'!$B$25</f>
        <v>0.14242299811999998</v>
      </c>
      <c r="F34" s="22">
        <v>45980.2</v>
      </c>
      <c r="G34" s="17">
        <f>E34*F34/100</f>
        <v>65.48637938157222</v>
      </c>
      <c r="H34" s="6" t="s">
        <v>62</v>
      </c>
    </row>
    <row r="35" spans="1:10">
      <c r="A35" s="38" t="s">
        <v>63</v>
      </c>
      <c r="B35" s="38"/>
      <c r="C35" s="38"/>
      <c r="D35" s="39"/>
      <c r="E35" s="39"/>
      <c r="F35" s="40"/>
      <c r="G35" s="24">
        <f>SUM(G33:G34)</f>
        <v>73.249511373572219</v>
      </c>
      <c r="H35" s="23"/>
    </row>
    <row r="36" spans="1:10">
      <c r="A36" s="44" t="s">
        <v>13</v>
      </c>
      <c r="B36" s="44"/>
      <c r="C36" s="44"/>
      <c r="D36" s="45"/>
      <c r="E36" s="45"/>
      <c r="F36" s="46"/>
      <c r="G36" s="46"/>
      <c r="H36" s="44"/>
    </row>
    <row r="37" spans="1:10" ht="28">
      <c r="A37" s="6" t="s">
        <v>13</v>
      </c>
      <c r="B37" s="6" t="s">
        <v>64</v>
      </c>
      <c r="C37" s="6" t="s">
        <v>65</v>
      </c>
      <c r="D37" s="21">
        <v>0</v>
      </c>
      <c r="E37" s="21">
        <v>0</v>
      </c>
      <c r="F37" s="17">
        <f>IF(E37=0,0,'Ratios Applied'!$D$39)</f>
        <v>0</v>
      </c>
      <c r="G37" s="17">
        <f>E37*F37/100</f>
        <v>0</v>
      </c>
      <c r="H37" s="6" t="s">
        <v>66</v>
      </c>
    </row>
    <row r="38" spans="1:10">
      <c r="A38" s="6" t="s">
        <v>13</v>
      </c>
      <c r="B38" s="6" t="s">
        <v>67</v>
      </c>
      <c r="C38" s="6" t="s">
        <v>65</v>
      </c>
      <c r="D38" s="21">
        <v>1.4550000000000001</v>
      </c>
      <c r="E38" s="21">
        <v>14.509</v>
      </c>
      <c r="F38" s="17">
        <f>'Ratios Applied'!$D$40</f>
        <v>4865.4000000000005</v>
      </c>
      <c r="G38" s="17">
        <f>E38*F38/100</f>
        <v>705.920886</v>
      </c>
      <c r="H38" s="6" t="s">
        <v>68</v>
      </c>
    </row>
    <row r="39" spans="1:10">
      <c r="A39" s="6" t="s">
        <v>13</v>
      </c>
      <c r="B39" s="6" t="s">
        <v>69</v>
      </c>
      <c r="C39" s="6" t="s">
        <v>65</v>
      </c>
      <c r="D39" s="21">
        <v>0.112</v>
      </c>
      <c r="E39" s="21">
        <v>0.82299999999999995</v>
      </c>
      <c r="F39" s="17">
        <f>'Ratios Applied'!$D$41</f>
        <v>3150</v>
      </c>
      <c r="G39" s="17">
        <f>E39*F39/100</f>
        <v>25.924499999999998</v>
      </c>
      <c r="H39" s="6" t="s">
        <v>70</v>
      </c>
    </row>
    <row r="40" spans="1:10">
      <c r="A40" s="38" t="s">
        <v>71</v>
      </c>
      <c r="B40" s="38"/>
      <c r="C40" s="38"/>
      <c r="D40" s="39"/>
      <c r="E40" s="39"/>
      <c r="F40" s="40"/>
      <c r="G40" s="24">
        <f>SUM(G37:G39)</f>
        <v>731.84538599999996</v>
      </c>
      <c r="H40" s="23"/>
    </row>
    <row r="41" spans="1:10">
      <c r="A41" s="44" t="s">
        <v>14</v>
      </c>
      <c r="B41" s="44"/>
      <c r="C41" s="44"/>
      <c r="D41" s="45"/>
      <c r="E41" s="45"/>
      <c r="F41" s="46"/>
      <c r="G41" s="46"/>
      <c r="H41" s="44"/>
    </row>
    <row r="42" spans="1:10" ht="42">
      <c r="A42" s="6" t="s">
        <v>14</v>
      </c>
      <c r="B42" s="6" t="s">
        <v>72</v>
      </c>
      <c r="C42" s="6" t="s">
        <v>30</v>
      </c>
      <c r="D42" s="21">
        <v>0.03</v>
      </c>
      <c r="E42" s="21">
        <v>0.25640000000000002</v>
      </c>
      <c r="F42" s="22">
        <v>45328</v>
      </c>
      <c r="G42" s="17">
        <f t="shared" ref="G42:G47" si="2">E42*F42/100</f>
        <v>116.22099200000001</v>
      </c>
      <c r="H42" s="6" t="s">
        <v>35</v>
      </c>
      <c r="I42" s="27" t="s">
        <v>217</v>
      </c>
      <c r="J42" s="30">
        <v>7.0000000000000001E-3</v>
      </c>
    </row>
    <row r="43" spans="1:10" ht="42">
      <c r="A43" s="6" t="s">
        <v>14</v>
      </c>
      <c r="B43" s="6" t="s">
        <v>73</v>
      </c>
      <c r="C43" s="6" t="s">
        <v>30</v>
      </c>
      <c r="D43" s="21">
        <v>0.125</v>
      </c>
      <c r="E43" s="21">
        <v>7.4999999999999997E-3</v>
      </c>
      <c r="F43" s="22">
        <v>146000</v>
      </c>
      <c r="G43" s="17">
        <f t="shared" si="2"/>
        <v>10.95</v>
      </c>
      <c r="H43" s="6" t="s">
        <v>35</v>
      </c>
      <c r="I43" s="27" t="s">
        <v>218</v>
      </c>
      <c r="J43" s="31">
        <v>85841</v>
      </c>
    </row>
    <row r="44" spans="1:10" ht="28">
      <c r="A44" s="6" t="s">
        <v>14</v>
      </c>
      <c r="B44" s="6" t="s">
        <v>74</v>
      </c>
      <c r="C44" s="6" t="s">
        <v>75</v>
      </c>
      <c r="D44" s="21">
        <v>0</v>
      </c>
      <c r="E44" s="21">
        <v>673.38</v>
      </c>
      <c r="F44" s="22">
        <v>320.66000000000003</v>
      </c>
      <c r="G44" s="17">
        <f t="shared" si="2"/>
        <v>2159.2603079999999</v>
      </c>
      <c r="H44" s="6" t="s">
        <v>35</v>
      </c>
    </row>
    <row r="45" spans="1:10" ht="28">
      <c r="A45" s="6" t="s">
        <v>14</v>
      </c>
      <c r="B45" s="6" t="s">
        <v>76</v>
      </c>
      <c r="C45" s="6" t="s">
        <v>30</v>
      </c>
      <c r="D45" s="21">
        <v>8.9999999999999993E-3</v>
      </c>
      <c r="E45" s="21">
        <v>1.2600000000000001E-3</v>
      </c>
      <c r="F45" s="22">
        <v>85623</v>
      </c>
      <c r="G45" s="17">
        <f t="shared" si="2"/>
        <v>1.0788498</v>
      </c>
      <c r="H45" s="6" t="s">
        <v>35</v>
      </c>
    </row>
    <row r="46" spans="1:10" ht="28">
      <c r="A46" s="6" t="s">
        <v>14</v>
      </c>
      <c r="B46" s="6" t="s">
        <v>77</v>
      </c>
      <c r="C46" s="6" t="s">
        <v>30</v>
      </c>
      <c r="D46" s="21">
        <v>0</v>
      </c>
      <c r="E46" s="25">
        <f>J42*'Ratios Applied'!$B$18</f>
        <v>5.7399999999999994E-3</v>
      </c>
      <c r="F46" s="17">
        <f>J43*'Ratios Applied'!$B$20</f>
        <v>42920.5</v>
      </c>
      <c r="G46" s="17">
        <f t="shared" si="2"/>
        <v>2.4636366999999999</v>
      </c>
      <c r="H46" s="6" t="s">
        <v>78</v>
      </c>
    </row>
    <row r="47" spans="1:10" ht="28">
      <c r="A47" s="6" t="s">
        <v>14</v>
      </c>
      <c r="B47" s="6" t="s">
        <v>79</v>
      </c>
      <c r="C47" s="6" t="s">
        <v>30</v>
      </c>
      <c r="D47" s="21">
        <v>0</v>
      </c>
      <c r="E47" s="21">
        <v>0</v>
      </c>
      <c r="F47" s="22">
        <v>0</v>
      </c>
      <c r="G47" s="17">
        <f t="shared" si="2"/>
        <v>0</v>
      </c>
      <c r="H47" s="6" t="s">
        <v>35</v>
      </c>
    </row>
    <row r="48" spans="1:10">
      <c r="A48" s="38" t="s">
        <v>80</v>
      </c>
      <c r="B48" s="38"/>
      <c r="C48" s="38"/>
      <c r="D48" s="39"/>
      <c r="E48" s="39"/>
      <c r="F48" s="40"/>
      <c r="G48" s="24">
        <f>SUM(G42:G47)</f>
        <v>2289.9737864999997</v>
      </c>
      <c r="H48" s="23"/>
    </row>
    <row r="49" spans="1:8">
      <c r="A49" s="44" t="s">
        <v>15</v>
      </c>
      <c r="B49" s="44"/>
      <c r="C49" s="44"/>
      <c r="D49" s="45"/>
      <c r="E49" s="45"/>
      <c r="F49" s="46"/>
      <c r="G49" s="46"/>
      <c r="H49" s="44"/>
    </row>
    <row r="50" spans="1:8" ht="28">
      <c r="A50" s="6" t="s">
        <v>15</v>
      </c>
      <c r="B50" s="6" t="s">
        <v>81</v>
      </c>
      <c r="C50" s="6" t="s">
        <v>30</v>
      </c>
      <c r="D50" s="21">
        <v>0.75</v>
      </c>
      <c r="E50" s="21">
        <v>0.78300000000000003</v>
      </c>
      <c r="F50" s="22">
        <v>122875</v>
      </c>
      <c r="G50" s="17">
        <f t="shared" ref="G50:G57" si="3">E50*F50/100</f>
        <v>962.11125000000004</v>
      </c>
      <c r="H50" s="6" t="s">
        <v>35</v>
      </c>
    </row>
    <row r="51" spans="1:8" ht="28">
      <c r="A51" s="6" t="s">
        <v>15</v>
      </c>
      <c r="B51" s="6" t="s">
        <v>82</v>
      </c>
      <c r="C51" s="6" t="s">
        <v>30</v>
      </c>
      <c r="D51" s="21">
        <v>2.7E-2</v>
      </c>
      <c r="E51" s="21">
        <v>0.13900000000000001</v>
      </c>
      <c r="F51" s="22">
        <v>672500</v>
      </c>
      <c r="G51" s="17">
        <f t="shared" si="3"/>
        <v>934.77500000000009</v>
      </c>
      <c r="H51" s="6" t="s">
        <v>35</v>
      </c>
    </row>
    <row r="52" spans="1:8" ht="28">
      <c r="A52" s="6" t="s">
        <v>15</v>
      </c>
      <c r="B52" s="6" t="s">
        <v>83</v>
      </c>
      <c r="C52" s="6" t="s">
        <v>30</v>
      </c>
      <c r="D52" s="21">
        <v>0.58499999999999996</v>
      </c>
      <c r="E52" s="21">
        <v>3.8639999999999999</v>
      </c>
      <c r="F52" s="22">
        <v>51000</v>
      </c>
      <c r="G52" s="17">
        <f t="shared" si="3"/>
        <v>1970.64</v>
      </c>
      <c r="H52" s="6" t="s">
        <v>35</v>
      </c>
    </row>
    <row r="53" spans="1:8" ht="28">
      <c r="A53" s="6" t="s">
        <v>15</v>
      </c>
      <c r="B53" s="6" t="s">
        <v>84</v>
      </c>
      <c r="C53" s="6" t="s">
        <v>30</v>
      </c>
      <c r="D53" s="21">
        <v>0.78400000000000003</v>
      </c>
      <c r="E53" s="21">
        <v>0.999</v>
      </c>
      <c r="F53" s="22">
        <v>115347.1</v>
      </c>
      <c r="G53" s="17">
        <f t="shared" si="3"/>
        <v>1152.3175290000001</v>
      </c>
      <c r="H53" s="6" t="s">
        <v>35</v>
      </c>
    </row>
    <row r="54" spans="1:8" ht="28">
      <c r="A54" s="6" t="s">
        <v>15</v>
      </c>
      <c r="B54" s="6" t="s">
        <v>85</v>
      </c>
      <c r="C54" s="6" t="s">
        <v>30</v>
      </c>
      <c r="D54" s="21">
        <v>3.165</v>
      </c>
      <c r="E54" s="21">
        <v>2.7</v>
      </c>
      <c r="F54" s="17">
        <f>'Ratios Applied'!$D$34</f>
        <v>43120</v>
      </c>
      <c r="G54" s="17">
        <f t="shared" si="3"/>
        <v>1164.2400000000002</v>
      </c>
      <c r="H54" s="6" t="s">
        <v>86</v>
      </c>
    </row>
    <row r="55" spans="1:8" ht="28">
      <c r="A55" s="6" t="s">
        <v>15</v>
      </c>
      <c r="B55" s="6" t="s">
        <v>87</v>
      </c>
      <c r="C55" s="6" t="s">
        <v>30</v>
      </c>
      <c r="D55" s="21">
        <v>0.36799999999999999</v>
      </c>
      <c r="E55" s="21">
        <v>3.4039999999999999</v>
      </c>
      <c r="F55" s="22">
        <v>62800</v>
      </c>
      <c r="G55" s="17">
        <f t="shared" si="3"/>
        <v>2137.712</v>
      </c>
      <c r="H55" s="6" t="s">
        <v>35</v>
      </c>
    </row>
    <row r="56" spans="1:8" ht="28">
      <c r="A56" s="6" t="s">
        <v>15</v>
      </c>
      <c r="B56" s="6" t="s">
        <v>88</v>
      </c>
      <c r="C56" s="6" t="s">
        <v>30</v>
      </c>
      <c r="D56" s="21">
        <v>2.3079999999999998</v>
      </c>
      <c r="E56" s="21">
        <v>2.1680000000000001</v>
      </c>
      <c r="F56" s="22">
        <v>34302</v>
      </c>
      <c r="G56" s="17">
        <f t="shared" si="3"/>
        <v>743.66736000000003</v>
      </c>
      <c r="H56" s="6" t="s">
        <v>35</v>
      </c>
    </row>
    <row r="57" spans="1:8" ht="28">
      <c r="A57" s="6" t="s">
        <v>15</v>
      </c>
      <c r="B57" s="6" t="s">
        <v>89</v>
      </c>
      <c r="C57" s="6" t="s">
        <v>30</v>
      </c>
      <c r="D57" s="21">
        <v>0.17599999999999999</v>
      </c>
      <c r="E57" s="21">
        <v>0.20599999999999999</v>
      </c>
      <c r="F57" s="17">
        <f>'Ratios Applied'!$D$50</f>
        <v>73362.705064194015</v>
      </c>
      <c r="G57" s="17">
        <f t="shared" si="3"/>
        <v>151.12717243223966</v>
      </c>
      <c r="H57" s="6" t="s">
        <v>90</v>
      </c>
    </row>
    <row r="58" spans="1:8">
      <c r="A58" s="38" t="s">
        <v>91</v>
      </c>
      <c r="B58" s="38"/>
      <c r="C58" s="38"/>
      <c r="D58" s="39"/>
      <c r="E58" s="39"/>
      <c r="F58" s="40"/>
      <c r="G58" s="24">
        <f>SUM(G50:G57)</f>
        <v>9216.5903114322391</v>
      </c>
      <c r="H58" s="23"/>
    </row>
    <row r="59" spans="1:8">
      <c r="A59" s="44" t="s">
        <v>16</v>
      </c>
      <c r="B59" s="44"/>
      <c r="C59" s="44"/>
      <c r="D59" s="45"/>
      <c r="E59" s="45"/>
      <c r="F59" s="46"/>
      <c r="G59" s="46"/>
      <c r="H59" s="44"/>
    </row>
    <row r="60" spans="1:8" ht="28">
      <c r="A60" s="6" t="s">
        <v>16</v>
      </c>
      <c r="B60" s="6" t="s">
        <v>92</v>
      </c>
      <c r="C60" s="6" t="s">
        <v>30</v>
      </c>
      <c r="D60" s="21">
        <v>2.964</v>
      </c>
      <c r="E60" s="21">
        <v>42.558</v>
      </c>
      <c r="F60" s="17">
        <f>'Ratios Applied'!$D$35</f>
        <v>29000</v>
      </c>
      <c r="G60" s="17">
        <f t="shared" ref="G60:G91" si="4">E60*F60/100</f>
        <v>12341.82</v>
      </c>
      <c r="H60" s="6" t="s">
        <v>93</v>
      </c>
    </row>
    <row r="61" spans="1:8" ht="28">
      <c r="A61" s="6" t="s">
        <v>16</v>
      </c>
      <c r="B61" s="6" t="s">
        <v>94</v>
      </c>
      <c r="C61" s="6" t="s">
        <v>30</v>
      </c>
      <c r="D61" s="21">
        <v>6.0999999999999999E-2</v>
      </c>
      <c r="E61" s="21">
        <v>0.64500000000000002</v>
      </c>
      <c r="F61" s="22">
        <v>42852</v>
      </c>
      <c r="G61" s="17">
        <f t="shared" si="4"/>
        <v>276.3954</v>
      </c>
      <c r="H61" s="6" t="s">
        <v>35</v>
      </c>
    </row>
    <row r="62" spans="1:8" ht="28">
      <c r="A62" s="6" t="s">
        <v>16</v>
      </c>
      <c r="B62" s="6" t="s">
        <v>95</v>
      </c>
      <c r="C62" s="6" t="s">
        <v>30</v>
      </c>
      <c r="D62" s="21">
        <v>0.22500000000000001</v>
      </c>
      <c r="E62" s="21">
        <v>0.27700000000000002</v>
      </c>
      <c r="F62" s="22">
        <v>799500</v>
      </c>
      <c r="G62" s="17">
        <f t="shared" si="4"/>
        <v>2214.6150000000002</v>
      </c>
      <c r="H62" s="6" t="s">
        <v>35</v>
      </c>
    </row>
    <row r="63" spans="1:8" ht="28">
      <c r="A63" s="6" t="s">
        <v>16</v>
      </c>
      <c r="B63" s="6" t="s">
        <v>96</v>
      </c>
      <c r="C63" s="6" t="s">
        <v>30</v>
      </c>
      <c r="D63" s="21">
        <v>1.2E-2</v>
      </c>
      <c r="E63" s="21">
        <v>0.26100000000000001</v>
      </c>
      <c r="F63" s="22">
        <v>26280</v>
      </c>
      <c r="G63" s="17">
        <f t="shared" si="4"/>
        <v>68.590800000000002</v>
      </c>
      <c r="H63" s="6" t="s">
        <v>35</v>
      </c>
    </row>
    <row r="64" spans="1:8" ht="28">
      <c r="A64" s="6" t="s">
        <v>16</v>
      </c>
      <c r="B64" s="6" t="s">
        <v>97</v>
      </c>
      <c r="C64" s="6" t="s">
        <v>30</v>
      </c>
      <c r="D64" s="21">
        <v>0.25700000000000001</v>
      </c>
      <c r="E64" s="21">
        <v>5.4180000000000001</v>
      </c>
      <c r="F64" s="22">
        <v>15801</v>
      </c>
      <c r="G64" s="17">
        <f t="shared" si="4"/>
        <v>856.09817999999996</v>
      </c>
      <c r="H64" s="6" t="s">
        <v>35</v>
      </c>
    </row>
    <row r="65" spans="1:8" ht="28">
      <c r="A65" s="6" t="s">
        <v>16</v>
      </c>
      <c r="B65" s="6" t="s">
        <v>98</v>
      </c>
      <c r="C65" s="6" t="s">
        <v>30</v>
      </c>
      <c r="D65" s="21">
        <v>0.184</v>
      </c>
      <c r="E65" s="21">
        <v>1.946</v>
      </c>
      <c r="F65" s="17">
        <f>'Ratios Applied'!$D$33</f>
        <v>53600</v>
      </c>
      <c r="G65" s="17">
        <f t="shared" si="4"/>
        <v>1043.0559999999998</v>
      </c>
      <c r="H65" s="6" t="s">
        <v>99</v>
      </c>
    </row>
    <row r="66" spans="1:8" ht="28">
      <c r="A66" s="6" t="s">
        <v>16</v>
      </c>
      <c r="B66" s="6" t="s">
        <v>100</v>
      </c>
      <c r="C66" s="6" t="s">
        <v>30</v>
      </c>
      <c r="D66" s="21">
        <v>0.53700000000000003</v>
      </c>
      <c r="E66" s="21">
        <v>3.351</v>
      </c>
      <c r="F66" s="17">
        <f>'Ratios Applied'!$D$32</f>
        <v>75040</v>
      </c>
      <c r="G66" s="17">
        <f t="shared" si="4"/>
        <v>2514.5904</v>
      </c>
      <c r="H66" s="6" t="s">
        <v>99</v>
      </c>
    </row>
    <row r="67" spans="1:8" ht="28">
      <c r="A67" s="6" t="s">
        <v>16</v>
      </c>
      <c r="B67" s="6" t="s">
        <v>101</v>
      </c>
      <c r="C67" s="6" t="s">
        <v>30</v>
      </c>
      <c r="D67" s="21">
        <v>5.7000000000000002E-2</v>
      </c>
      <c r="E67" s="21">
        <v>0.61499999999999999</v>
      </c>
      <c r="F67" s="22">
        <v>40752</v>
      </c>
      <c r="G67" s="17">
        <f t="shared" si="4"/>
        <v>250.62479999999999</v>
      </c>
      <c r="H67" s="6" t="s">
        <v>35</v>
      </c>
    </row>
    <row r="68" spans="1:8" ht="28">
      <c r="A68" s="6" t="s">
        <v>16</v>
      </c>
      <c r="B68" s="6" t="s">
        <v>102</v>
      </c>
      <c r="C68" s="6" t="s">
        <v>30</v>
      </c>
      <c r="D68" s="21">
        <v>0.77700000000000002</v>
      </c>
      <c r="E68" s="21">
        <v>16.018999999999998</v>
      </c>
      <c r="F68" s="17">
        <f>'Ratios Applied'!$D$31</f>
        <v>27040</v>
      </c>
      <c r="G68" s="17">
        <f t="shared" si="4"/>
        <v>4331.5375999999997</v>
      </c>
      <c r="H68" s="6" t="s">
        <v>103</v>
      </c>
    </row>
    <row r="69" spans="1:8" ht="28">
      <c r="A69" s="6" t="s">
        <v>16</v>
      </c>
      <c r="B69" s="6" t="s">
        <v>104</v>
      </c>
      <c r="C69" s="6" t="s">
        <v>30</v>
      </c>
      <c r="D69" s="21">
        <v>8.5000000000000006E-2</v>
      </c>
      <c r="E69" s="21">
        <v>1.8140000000000001</v>
      </c>
      <c r="F69" s="22">
        <v>30751.5</v>
      </c>
      <c r="G69" s="17">
        <f t="shared" si="4"/>
        <v>557.83221000000003</v>
      </c>
      <c r="H69" s="6" t="s">
        <v>35</v>
      </c>
    </row>
    <row r="70" spans="1:8" ht="28">
      <c r="A70" s="6" t="s">
        <v>16</v>
      </c>
      <c r="B70" s="6" t="s">
        <v>105</v>
      </c>
      <c r="C70" s="6" t="s">
        <v>30</v>
      </c>
      <c r="D70" s="21">
        <v>0</v>
      </c>
      <c r="E70" s="21">
        <v>0</v>
      </c>
      <c r="F70" s="22">
        <v>0</v>
      </c>
      <c r="G70" s="17">
        <f t="shared" si="4"/>
        <v>0</v>
      </c>
      <c r="H70" s="6" t="s">
        <v>35</v>
      </c>
    </row>
    <row r="71" spans="1:8" ht="28">
      <c r="A71" s="6" t="s">
        <v>16</v>
      </c>
      <c r="B71" s="6" t="s">
        <v>106</v>
      </c>
      <c r="C71" s="6" t="s">
        <v>30</v>
      </c>
      <c r="D71" s="21">
        <v>0.23200000000000001</v>
      </c>
      <c r="E71" s="21">
        <v>2.9620000000000002</v>
      </c>
      <c r="F71" s="22">
        <v>15302</v>
      </c>
      <c r="G71" s="17">
        <f t="shared" si="4"/>
        <v>453.24524000000002</v>
      </c>
      <c r="H71" s="6" t="s">
        <v>35</v>
      </c>
    </row>
    <row r="72" spans="1:8" ht="28">
      <c r="A72" s="6" t="s">
        <v>16</v>
      </c>
      <c r="B72" s="6" t="s">
        <v>107</v>
      </c>
      <c r="C72" s="6" t="s">
        <v>30</v>
      </c>
      <c r="D72" s="21">
        <v>3.7360000000000002</v>
      </c>
      <c r="E72" s="21">
        <v>45.49</v>
      </c>
      <c r="F72" s="22">
        <v>20753.7</v>
      </c>
      <c r="G72" s="17">
        <f t="shared" si="4"/>
        <v>9440.8581300000005</v>
      </c>
      <c r="H72" s="6" t="s">
        <v>35</v>
      </c>
    </row>
    <row r="73" spans="1:8" ht="28">
      <c r="A73" s="6" t="s">
        <v>16</v>
      </c>
      <c r="B73" s="6" t="s">
        <v>108</v>
      </c>
      <c r="C73" s="6" t="s">
        <v>30</v>
      </c>
      <c r="D73" s="21">
        <v>0.15</v>
      </c>
      <c r="E73" s="21">
        <v>0.71399999999999997</v>
      </c>
      <c r="F73" s="22">
        <v>13652</v>
      </c>
      <c r="G73" s="17">
        <f t="shared" si="4"/>
        <v>97.475279999999998</v>
      </c>
      <c r="H73" s="6" t="s">
        <v>35</v>
      </c>
    </row>
    <row r="74" spans="1:8" ht="28">
      <c r="A74" s="6" t="s">
        <v>16</v>
      </c>
      <c r="B74" s="6" t="s">
        <v>109</v>
      </c>
      <c r="C74" s="6" t="s">
        <v>30</v>
      </c>
      <c r="D74" s="21">
        <v>0.30499999999999999</v>
      </c>
      <c r="E74" s="21">
        <v>2.552</v>
      </c>
      <c r="F74" s="17">
        <f>F72*'Ratios Applied'!$B$17</f>
        <v>8168.6563200000001</v>
      </c>
      <c r="G74" s="17">
        <f t="shared" si="4"/>
        <v>208.4641092864</v>
      </c>
      <c r="H74" s="6" t="s">
        <v>110</v>
      </c>
    </row>
    <row r="75" spans="1:8" ht="28">
      <c r="A75" s="6" t="s">
        <v>16</v>
      </c>
      <c r="B75" s="6" t="s">
        <v>111</v>
      </c>
      <c r="C75" s="6" t="s">
        <v>30</v>
      </c>
      <c r="D75" s="21">
        <v>0.32800000000000001</v>
      </c>
      <c r="E75" s="21">
        <v>2.25</v>
      </c>
      <c r="F75" s="22">
        <v>31202</v>
      </c>
      <c r="G75" s="17">
        <f t="shared" si="4"/>
        <v>702.04499999999996</v>
      </c>
      <c r="H75" s="6" t="s">
        <v>35</v>
      </c>
    </row>
    <row r="76" spans="1:8" ht="28">
      <c r="A76" s="6" t="s">
        <v>16</v>
      </c>
      <c r="B76" s="6" t="s">
        <v>112</v>
      </c>
      <c r="C76" s="6" t="s">
        <v>30</v>
      </c>
      <c r="D76" s="21">
        <v>0.90100000000000002</v>
      </c>
      <c r="E76" s="21">
        <v>16.77</v>
      </c>
      <c r="F76" s="22">
        <v>28000</v>
      </c>
      <c r="G76" s="17">
        <f t="shared" si="4"/>
        <v>4695.6000000000004</v>
      </c>
      <c r="H76" s="6" t="s">
        <v>35</v>
      </c>
    </row>
    <row r="77" spans="1:8" ht="28">
      <c r="A77" s="6" t="s">
        <v>16</v>
      </c>
      <c r="B77" s="6" t="s">
        <v>113</v>
      </c>
      <c r="C77" s="6" t="s">
        <v>30</v>
      </c>
      <c r="D77" s="21">
        <v>0.58599999999999997</v>
      </c>
      <c r="E77" s="21">
        <v>9.734</v>
      </c>
      <c r="F77" s="22">
        <v>20301</v>
      </c>
      <c r="G77" s="17">
        <f t="shared" si="4"/>
        <v>1976.09934</v>
      </c>
      <c r="H77" s="6" t="s">
        <v>35</v>
      </c>
    </row>
    <row r="78" spans="1:8" ht="28">
      <c r="A78" s="6" t="s">
        <v>16</v>
      </c>
      <c r="B78" s="6" t="s">
        <v>114</v>
      </c>
      <c r="C78" s="6" t="s">
        <v>30</v>
      </c>
      <c r="D78" s="21">
        <v>0.85199999999999998</v>
      </c>
      <c r="E78" s="21">
        <v>10.894</v>
      </c>
      <c r="F78" s="22">
        <v>20801</v>
      </c>
      <c r="G78" s="17">
        <f t="shared" si="4"/>
        <v>2266.0609400000003</v>
      </c>
      <c r="H78" s="6" t="s">
        <v>35</v>
      </c>
    </row>
    <row r="79" spans="1:8" ht="28">
      <c r="A79" s="6" t="s">
        <v>16</v>
      </c>
      <c r="B79" s="6" t="s">
        <v>115</v>
      </c>
      <c r="C79" s="6" t="s">
        <v>30</v>
      </c>
      <c r="D79" s="21">
        <v>0.26200000000000001</v>
      </c>
      <c r="E79" s="21">
        <v>5.4749999999999996</v>
      </c>
      <c r="F79" s="22">
        <v>27201</v>
      </c>
      <c r="G79" s="17">
        <f t="shared" si="4"/>
        <v>1489.2547499999998</v>
      </c>
      <c r="H79" s="6" t="s">
        <v>35</v>
      </c>
    </row>
    <row r="80" spans="1:8" ht="28">
      <c r="A80" s="6" t="s">
        <v>16</v>
      </c>
      <c r="B80" s="6" t="s">
        <v>116</v>
      </c>
      <c r="C80" s="6" t="s">
        <v>30</v>
      </c>
      <c r="D80" s="21">
        <v>0.68300000000000005</v>
      </c>
      <c r="E80" s="21">
        <v>10.077999999999999</v>
      </c>
      <c r="F80" s="22">
        <v>21502</v>
      </c>
      <c r="G80" s="17">
        <f t="shared" si="4"/>
        <v>2166.97156</v>
      </c>
      <c r="H80" s="6" t="s">
        <v>35</v>
      </c>
    </row>
    <row r="81" spans="1:8" ht="28">
      <c r="A81" s="6" t="s">
        <v>16</v>
      </c>
      <c r="B81" s="6" t="s">
        <v>117</v>
      </c>
      <c r="C81" s="6" t="s">
        <v>30</v>
      </c>
      <c r="D81" s="21">
        <v>0.27100000000000002</v>
      </c>
      <c r="E81" s="21">
        <v>1.5409999999999999</v>
      </c>
      <c r="F81" s="22">
        <v>30850</v>
      </c>
      <c r="G81" s="17">
        <f t="shared" si="4"/>
        <v>475.39850000000001</v>
      </c>
      <c r="H81" s="6" t="s">
        <v>35</v>
      </c>
    </row>
    <row r="82" spans="1:8" ht="28">
      <c r="A82" s="6" t="s">
        <v>16</v>
      </c>
      <c r="B82" s="6" t="s">
        <v>118</v>
      </c>
      <c r="C82" s="6" t="s">
        <v>30</v>
      </c>
      <c r="D82" s="21">
        <v>0.23599999999999999</v>
      </c>
      <c r="E82" s="21">
        <v>4.0830000000000002</v>
      </c>
      <c r="F82" s="22">
        <v>30000</v>
      </c>
      <c r="G82" s="17">
        <f t="shared" si="4"/>
        <v>1224.9000000000001</v>
      </c>
      <c r="H82" s="6" t="s">
        <v>35</v>
      </c>
    </row>
    <row r="83" spans="1:8" ht="28">
      <c r="A83" s="6" t="s">
        <v>16</v>
      </c>
      <c r="B83" s="6" t="s">
        <v>119</v>
      </c>
      <c r="C83" s="6" t="s">
        <v>30</v>
      </c>
      <c r="D83" s="21">
        <v>0.17100000000000001</v>
      </c>
      <c r="E83" s="21">
        <v>2.214</v>
      </c>
      <c r="F83" s="22">
        <v>23201</v>
      </c>
      <c r="G83" s="17">
        <f t="shared" si="4"/>
        <v>513.67014000000006</v>
      </c>
      <c r="H83" s="6" t="s">
        <v>35</v>
      </c>
    </row>
    <row r="84" spans="1:8" ht="28">
      <c r="A84" s="6" t="s">
        <v>16</v>
      </c>
      <c r="B84" s="6" t="s">
        <v>120</v>
      </c>
      <c r="C84" s="6" t="s">
        <v>30</v>
      </c>
      <c r="D84" s="21">
        <v>0.65200000000000002</v>
      </c>
      <c r="E84" s="21">
        <v>8.109</v>
      </c>
      <c r="F84" s="22">
        <v>18405</v>
      </c>
      <c r="G84" s="17">
        <f t="shared" si="4"/>
        <v>1492.4614499999998</v>
      </c>
      <c r="H84" s="6" t="s">
        <v>35</v>
      </c>
    </row>
    <row r="85" spans="1:8" ht="28">
      <c r="A85" s="6" t="s">
        <v>16</v>
      </c>
      <c r="B85" s="6" t="s">
        <v>121</v>
      </c>
      <c r="C85" s="6" t="s">
        <v>30</v>
      </c>
      <c r="D85" s="21">
        <v>2.9000000000000001E-2</v>
      </c>
      <c r="E85" s="21">
        <v>0.48599999999999999</v>
      </c>
      <c r="F85" s="22">
        <v>27552</v>
      </c>
      <c r="G85" s="17">
        <f t="shared" si="4"/>
        <v>133.90271999999999</v>
      </c>
      <c r="H85" s="6" t="s">
        <v>35</v>
      </c>
    </row>
    <row r="86" spans="1:8" ht="28">
      <c r="A86" s="6" t="s">
        <v>16</v>
      </c>
      <c r="B86" s="6" t="s">
        <v>122</v>
      </c>
      <c r="C86" s="6" t="s">
        <v>30</v>
      </c>
      <c r="D86" s="21">
        <v>0.106</v>
      </c>
      <c r="E86" s="21">
        <v>2.2069999999999999</v>
      </c>
      <c r="F86" s="22">
        <v>18900</v>
      </c>
      <c r="G86" s="17">
        <f t="shared" si="4"/>
        <v>417.12299999999993</v>
      </c>
      <c r="H86" s="6" t="s">
        <v>35</v>
      </c>
    </row>
    <row r="87" spans="1:8" ht="28">
      <c r="A87" s="6" t="s">
        <v>16</v>
      </c>
      <c r="B87" s="6" t="s">
        <v>123</v>
      </c>
      <c r="C87" s="6" t="s">
        <v>30</v>
      </c>
      <c r="D87" s="21">
        <v>0.01</v>
      </c>
      <c r="E87" s="21">
        <v>6.8000000000000005E-2</v>
      </c>
      <c r="F87" s="22">
        <v>72700</v>
      </c>
      <c r="G87" s="17">
        <f t="shared" si="4"/>
        <v>49.436000000000007</v>
      </c>
      <c r="H87" s="6" t="s">
        <v>35</v>
      </c>
    </row>
    <row r="88" spans="1:8" ht="28">
      <c r="A88" s="6" t="s">
        <v>16</v>
      </c>
      <c r="B88" s="6" t="s">
        <v>124</v>
      </c>
      <c r="C88" s="6" t="s">
        <v>30</v>
      </c>
      <c r="D88" s="21">
        <v>6.8000000000000005E-2</v>
      </c>
      <c r="E88" s="21">
        <v>0.98</v>
      </c>
      <c r="F88" s="22">
        <v>30500</v>
      </c>
      <c r="G88" s="17">
        <f t="shared" si="4"/>
        <v>298.89999999999998</v>
      </c>
      <c r="H88" s="6" t="s">
        <v>35</v>
      </c>
    </row>
    <row r="89" spans="1:8" ht="28">
      <c r="A89" s="6" t="s">
        <v>16</v>
      </c>
      <c r="B89" s="6" t="s">
        <v>125</v>
      </c>
      <c r="C89" s="6" t="s">
        <v>30</v>
      </c>
      <c r="D89" s="21">
        <v>0.33200000000000002</v>
      </c>
      <c r="E89" s="21">
        <v>0.23799999999999999</v>
      </c>
      <c r="F89" s="22">
        <v>41002</v>
      </c>
      <c r="G89" s="17">
        <f t="shared" si="4"/>
        <v>97.584759999999989</v>
      </c>
      <c r="H89" s="6" t="s">
        <v>35</v>
      </c>
    </row>
    <row r="90" spans="1:8" ht="28">
      <c r="A90" s="6" t="s">
        <v>16</v>
      </c>
      <c r="B90" s="6" t="s">
        <v>126</v>
      </c>
      <c r="C90" s="6" t="s">
        <v>30</v>
      </c>
      <c r="D90" s="21">
        <v>0</v>
      </c>
      <c r="E90" s="21">
        <v>0</v>
      </c>
      <c r="F90" s="22">
        <v>0</v>
      </c>
      <c r="G90" s="17">
        <f t="shared" si="4"/>
        <v>0</v>
      </c>
      <c r="H90" s="6" t="s">
        <v>35</v>
      </c>
    </row>
    <row r="91" spans="1:8" ht="28">
      <c r="A91" s="6" t="s">
        <v>16</v>
      </c>
      <c r="B91" s="6" t="s">
        <v>127</v>
      </c>
      <c r="C91" s="6" t="s">
        <v>30</v>
      </c>
      <c r="D91" s="21">
        <v>0.125</v>
      </c>
      <c r="E91" s="21">
        <v>1.4379999999999999</v>
      </c>
      <c r="F91" s="17">
        <f>'Ratios Applied'!$D$67</f>
        <v>32883.073272835303</v>
      </c>
      <c r="G91" s="17">
        <f t="shared" si="4"/>
        <v>472.85859366337166</v>
      </c>
      <c r="H91" s="6" t="s">
        <v>128</v>
      </c>
    </row>
    <row r="92" spans="1:8">
      <c r="A92" s="38" t="s">
        <v>129</v>
      </c>
      <c r="B92" s="38"/>
      <c r="C92" s="38"/>
      <c r="D92" s="39"/>
      <c r="E92" s="39"/>
      <c r="F92" s="40"/>
      <c r="G92" s="24">
        <f>SUM(G60:G91)</f>
        <v>53127.469902949771</v>
      </c>
      <c r="H92" s="23"/>
    </row>
    <row r="93" spans="1:8">
      <c r="A93" s="44" t="s">
        <v>17</v>
      </c>
      <c r="B93" s="44"/>
      <c r="C93" s="44"/>
      <c r="D93" s="45"/>
      <c r="E93" s="45"/>
      <c r="F93" s="46"/>
      <c r="G93" s="46"/>
      <c r="H93" s="44"/>
    </row>
    <row r="94" spans="1:8" ht="28">
      <c r="A94" s="6" t="s">
        <v>17</v>
      </c>
      <c r="B94" s="6" t="s">
        <v>130</v>
      </c>
      <c r="C94" s="6" t="s">
        <v>30</v>
      </c>
      <c r="D94" s="21">
        <v>1.9335199999999999</v>
      </c>
      <c r="E94" s="21">
        <v>2.3010000000000002</v>
      </c>
      <c r="F94" s="22">
        <v>146000</v>
      </c>
      <c r="G94" s="17">
        <f>E94*F94/100</f>
        <v>3359.46</v>
      </c>
      <c r="H94" s="6" t="s">
        <v>35</v>
      </c>
    </row>
    <row r="95" spans="1:8" ht="28">
      <c r="A95" s="6" t="s">
        <v>17</v>
      </c>
      <c r="B95" s="6" t="s">
        <v>131</v>
      </c>
      <c r="C95" s="6" t="s">
        <v>30</v>
      </c>
      <c r="D95" s="21">
        <v>0</v>
      </c>
      <c r="E95" s="21">
        <v>0</v>
      </c>
      <c r="F95" s="22">
        <v>0</v>
      </c>
      <c r="G95" s="17">
        <f>E95*F95/100</f>
        <v>0</v>
      </c>
      <c r="H95" s="6" t="s">
        <v>35</v>
      </c>
    </row>
    <row r="96" spans="1:8" ht="28">
      <c r="A96" s="6" t="s">
        <v>17</v>
      </c>
      <c r="B96" s="6" t="s">
        <v>132</v>
      </c>
      <c r="C96" s="6" t="s">
        <v>30</v>
      </c>
      <c r="D96" s="25">
        <f>'Ratios Applied'!$D$78</f>
        <v>83.736999999999995</v>
      </c>
      <c r="E96" s="25">
        <f>'Ratios Applied'!$D$79</f>
        <v>50.962338199999998</v>
      </c>
      <c r="F96" s="22">
        <v>3605.53</v>
      </c>
      <c r="G96" s="17">
        <f>E96*F96/100</f>
        <v>1837.46239250246</v>
      </c>
      <c r="H96" s="6" t="s">
        <v>133</v>
      </c>
    </row>
    <row r="97" spans="1:8" ht="28">
      <c r="A97" s="6" t="s">
        <v>17</v>
      </c>
      <c r="B97" s="6" t="s">
        <v>134</v>
      </c>
      <c r="C97" s="6" t="s">
        <v>30</v>
      </c>
      <c r="D97" s="21">
        <v>0.2</v>
      </c>
      <c r="E97" s="21">
        <v>0</v>
      </c>
      <c r="F97" s="22">
        <v>2095.84</v>
      </c>
      <c r="G97" s="17">
        <f>E97*F97/100</f>
        <v>0</v>
      </c>
      <c r="H97" s="6" t="s">
        <v>35</v>
      </c>
    </row>
    <row r="98" spans="1:8" ht="28">
      <c r="A98" s="6" t="s">
        <v>17</v>
      </c>
      <c r="B98" s="6" t="s">
        <v>135</v>
      </c>
      <c r="C98" s="6" t="s">
        <v>30</v>
      </c>
      <c r="D98" s="21">
        <v>0.45</v>
      </c>
      <c r="E98" s="21">
        <v>0</v>
      </c>
      <c r="F98" s="22">
        <v>3618</v>
      </c>
      <c r="G98" s="17">
        <f>E98*F98/100</f>
        <v>0</v>
      </c>
      <c r="H98" s="6" t="s">
        <v>35</v>
      </c>
    </row>
    <row r="99" spans="1:8">
      <c r="A99" s="38" t="s">
        <v>136</v>
      </c>
      <c r="B99" s="38"/>
      <c r="C99" s="38"/>
      <c r="D99" s="39"/>
      <c r="E99" s="39"/>
      <c r="F99" s="40"/>
      <c r="G99" s="24">
        <f>SUM(G94:G98)</f>
        <v>5196.9223925024598</v>
      </c>
      <c r="H99" s="23"/>
    </row>
    <row r="100" spans="1:8">
      <c r="A100" s="7" t="s">
        <v>18</v>
      </c>
      <c r="B100" s="7"/>
      <c r="C100" s="7"/>
      <c r="D100" s="20" t="s">
        <v>221</v>
      </c>
      <c r="E100" s="20" t="s">
        <v>222</v>
      </c>
      <c r="F100" s="15"/>
      <c r="G100" s="15"/>
      <c r="H100" s="7"/>
    </row>
    <row r="101" spans="1:8" ht="28">
      <c r="A101" s="6" t="s">
        <v>18</v>
      </c>
      <c r="B101" s="6" t="s">
        <v>219</v>
      </c>
      <c r="C101" s="6" t="s">
        <v>220</v>
      </c>
      <c r="D101" s="25">
        <f>D37</f>
        <v>0</v>
      </c>
      <c r="E101" s="25">
        <f>'Ratios Applied'!B28</f>
        <v>5000</v>
      </c>
      <c r="F101" s="34" t="s">
        <v>225</v>
      </c>
      <c r="G101" s="17">
        <f>D101*H101</f>
        <v>0</v>
      </c>
      <c r="H101" s="6"/>
    </row>
    <row r="102" spans="1:8">
      <c r="A102" s="38" t="s">
        <v>137</v>
      </c>
      <c r="B102" s="38"/>
      <c r="C102" s="38"/>
      <c r="D102" s="39"/>
      <c r="E102" s="39"/>
      <c r="F102" s="40"/>
      <c r="G102" s="24">
        <f>SUM(G101:G101)</f>
        <v>0</v>
      </c>
      <c r="H102" s="23"/>
    </row>
    <row r="103" spans="1:8">
      <c r="A103" s="44" t="s">
        <v>19</v>
      </c>
      <c r="B103" s="44"/>
      <c r="C103" s="44"/>
      <c r="D103" s="45"/>
      <c r="E103" s="45"/>
      <c r="F103" s="46"/>
      <c r="G103" s="46"/>
      <c r="H103" s="44"/>
    </row>
    <row r="104" spans="1:8" ht="56">
      <c r="A104" s="6" t="s">
        <v>19</v>
      </c>
      <c r="B104" s="6" t="s">
        <v>138</v>
      </c>
      <c r="C104" s="6" t="s">
        <v>30</v>
      </c>
      <c r="D104" s="37">
        <f>'Ratios Applied'!D81/1000</f>
        <v>5.717312999999999</v>
      </c>
      <c r="E104" s="34" t="s">
        <v>225</v>
      </c>
      <c r="F104" s="17">
        <f>D104*G92/SUM(D60:D91)</f>
        <v>19991.205366147387</v>
      </c>
      <c r="G104" s="17">
        <f>D104*F104</f>
        <v>114295.9783255442</v>
      </c>
      <c r="H104" s="6" t="s">
        <v>236</v>
      </c>
    </row>
    <row r="105" spans="1:8">
      <c r="A105" s="38" t="s">
        <v>139</v>
      </c>
      <c r="B105" s="38"/>
      <c r="C105" s="38"/>
      <c r="D105" s="39"/>
      <c r="E105" s="39"/>
      <c r="F105" s="40"/>
      <c r="G105" s="24">
        <f>SUM(G104:G104)</f>
        <v>114295.9783255442</v>
      </c>
      <c r="H105" s="23"/>
    </row>
    <row r="106" spans="1:8">
      <c r="A106" s="44" t="s">
        <v>20</v>
      </c>
      <c r="B106" s="44"/>
      <c r="C106" s="44"/>
      <c r="D106" s="45"/>
      <c r="E106" s="45"/>
      <c r="F106" s="46"/>
      <c r="G106" s="46"/>
      <c r="H106" s="44"/>
    </row>
    <row r="107" spans="1:8" ht="28">
      <c r="A107" s="6" t="s">
        <v>20</v>
      </c>
      <c r="B107" s="6" t="s">
        <v>140</v>
      </c>
      <c r="C107" s="6" t="s">
        <v>141</v>
      </c>
      <c r="D107" s="21">
        <v>0</v>
      </c>
      <c r="E107" s="21">
        <v>195.4</v>
      </c>
      <c r="F107" s="22">
        <v>2.46</v>
      </c>
      <c r="G107" s="17">
        <f>E107*F107</f>
        <v>480.68400000000003</v>
      </c>
      <c r="H107" s="6" t="s">
        <v>142</v>
      </c>
    </row>
    <row r="108" spans="1:8">
      <c r="A108" s="6" t="s">
        <v>20</v>
      </c>
      <c r="B108" s="6" t="s">
        <v>143</v>
      </c>
      <c r="C108" s="6" t="s">
        <v>144</v>
      </c>
      <c r="D108" s="21">
        <v>0</v>
      </c>
      <c r="E108" s="21">
        <v>0.77400000000000002</v>
      </c>
      <c r="F108" s="22">
        <v>86076</v>
      </c>
      <c r="G108" s="17">
        <f>E108*F108/100</f>
        <v>666.22824000000003</v>
      </c>
      <c r="H108" s="6" t="s">
        <v>35</v>
      </c>
    </row>
    <row r="109" spans="1:8">
      <c r="A109" s="38" t="s">
        <v>145</v>
      </c>
      <c r="B109" s="38"/>
      <c r="C109" s="38"/>
      <c r="D109" s="39"/>
      <c r="E109" s="39"/>
      <c r="F109" s="40"/>
      <c r="G109" s="24">
        <f>SUM(G107:G108)</f>
        <v>1146.9122400000001</v>
      </c>
      <c r="H109" s="23"/>
    </row>
    <row r="110" spans="1:8">
      <c r="A110" s="6"/>
      <c r="B110" s="6"/>
      <c r="C110" s="6"/>
      <c r="D110" s="19"/>
      <c r="E110" s="19"/>
      <c r="F110" s="14"/>
      <c r="G110" s="14"/>
      <c r="H110" s="6"/>
    </row>
    <row r="111" spans="1:8">
      <c r="A111" s="41" t="s">
        <v>146</v>
      </c>
      <c r="B111" s="41"/>
      <c r="C111" s="41"/>
      <c r="D111" s="42"/>
      <c r="E111" s="42"/>
      <c r="F111" s="43"/>
      <c r="G111" s="13">
        <f>G12+G21+G31+G35+G40+G48+G58+G92+G99+G102+G105+G109</f>
        <v>222249.17038756885</v>
      </c>
      <c r="H111" s="12"/>
    </row>
  </sheetData>
  <mergeCells count="25">
    <mergeCell ref="A21:F21"/>
    <mergeCell ref="A22:H22"/>
    <mergeCell ref="A31:F31"/>
    <mergeCell ref="A35:F35"/>
    <mergeCell ref="A1:H1"/>
    <mergeCell ref="A2:H2"/>
    <mergeCell ref="A6:H6"/>
    <mergeCell ref="A12:F12"/>
    <mergeCell ref="A13:H13"/>
    <mergeCell ref="A36:H36"/>
    <mergeCell ref="A40:F40"/>
    <mergeCell ref="A41:H41"/>
    <mergeCell ref="A48:F48"/>
    <mergeCell ref="A49:H49"/>
    <mergeCell ref="A58:F58"/>
    <mergeCell ref="A59:H59"/>
    <mergeCell ref="A92:F92"/>
    <mergeCell ref="A93:H93"/>
    <mergeCell ref="A99:F99"/>
    <mergeCell ref="A109:F109"/>
    <mergeCell ref="A111:F111"/>
    <mergeCell ref="A102:F102"/>
    <mergeCell ref="A103:H103"/>
    <mergeCell ref="A105:F105"/>
    <mergeCell ref="A106:H10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1"/>
  <sheetViews>
    <sheetView tabSelected="1" topLeftCell="A72" workbookViewId="0">
      <selection activeCell="C88" sqref="C88"/>
    </sheetView>
  </sheetViews>
  <sheetFormatPr defaultRowHeight="14"/>
  <cols>
    <col min="1" max="1" width="34" customWidth="1"/>
    <col min="2" max="4" width="18" customWidth="1"/>
    <col min="5" max="6" width="28" customWidth="1"/>
  </cols>
  <sheetData>
    <row r="1" spans="1:6" ht="20">
      <c r="A1" s="47" t="s">
        <v>147</v>
      </c>
      <c r="B1" s="47"/>
      <c r="C1" s="47"/>
      <c r="D1" s="47"/>
      <c r="E1" s="47"/>
      <c r="F1" s="47"/>
    </row>
    <row r="2" spans="1:6" ht="14.5">
      <c r="A2" s="48" t="s">
        <v>233</v>
      </c>
      <c r="B2" s="48"/>
      <c r="C2" s="48"/>
      <c r="D2" s="48"/>
      <c r="E2" s="48"/>
      <c r="F2" s="48"/>
    </row>
    <row r="3" spans="1:6">
      <c r="A3" s="6"/>
      <c r="B3" s="6"/>
      <c r="C3" s="6"/>
      <c r="D3" s="6"/>
      <c r="E3" s="6"/>
      <c r="F3" s="6"/>
    </row>
    <row r="4" spans="1:6">
      <c r="A4" s="44" t="s">
        <v>148</v>
      </c>
      <c r="B4" s="44"/>
      <c r="C4" s="44"/>
      <c r="D4" s="44"/>
      <c r="E4" s="44"/>
      <c r="F4" s="44"/>
    </row>
    <row r="5" spans="1:6" ht="28">
      <c r="A5" s="2" t="s">
        <v>149</v>
      </c>
      <c r="B5" s="2" t="s">
        <v>24</v>
      </c>
      <c r="C5" s="2" t="s">
        <v>150</v>
      </c>
      <c r="D5" s="2" t="s">
        <v>151</v>
      </c>
      <c r="E5" s="2" t="s">
        <v>152</v>
      </c>
      <c r="F5" s="2" t="s">
        <v>153</v>
      </c>
    </row>
    <row r="6" spans="1:6">
      <c r="A6" s="6" t="s">
        <v>154</v>
      </c>
      <c r="B6" s="8">
        <v>36.192999999999998</v>
      </c>
      <c r="C6" s="8">
        <v>151.471</v>
      </c>
      <c r="D6" s="8">
        <v>15366</v>
      </c>
      <c r="E6" s="9">
        <f>C6*D6/100</f>
        <v>23275.03386</v>
      </c>
      <c r="F6" s="10">
        <v>1.54</v>
      </c>
    </row>
    <row r="7" spans="1:6">
      <c r="A7" s="6" t="s">
        <v>155</v>
      </c>
      <c r="B7" s="8">
        <v>1.2190000000000001</v>
      </c>
      <c r="C7" s="8">
        <v>5.8639999999999999</v>
      </c>
      <c r="D7" s="8">
        <v>13502</v>
      </c>
      <c r="E7" s="9">
        <f>C7*D7/100</f>
        <v>791.75728000000004</v>
      </c>
      <c r="F7" s="10">
        <v>1.6</v>
      </c>
    </row>
    <row r="8" spans="1:6">
      <c r="A8" s="6" t="s">
        <v>156</v>
      </c>
      <c r="B8" s="8">
        <v>0.89800000000000002</v>
      </c>
      <c r="C8" s="8">
        <v>3.2589999999999999</v>
      </c>
      <c r="D8" s="8">
        <v>12500</v>
      </c>
      <c r="E8" s="9">
        <f>C8*D8/100</f>
        <v>407.375</v>
      </c>
      <c r="F8" s="10">
        <v>1.72</v>
      </c>
    </row>
    <row r="9" spans="1:6">
      <c r="A9" s="6"/>
      <c r="B9" s="11"/>
      <c r="C9" s="11"/>
      <c r="D9" s="11"/>
      <c r="E9" s="11"/>
      <c r="F9" s="6"/>
    </row>
    <row r="10" spans="1:6">
      <c r="A10" s="41" t="s">
        <v>157</v>
      </c>
      <c r="B10" s="53"/>
      <c r="C10" s="53"/>
      <c r="D10" s="13">
        <f>IF(SUM(C6:C8)=0,0,SUM(E6:E8)/SUM(C6:C8)*100)</f>
        <v>15239.77616847454</v>
      </c>
      <c r="E10" s="11"/>
      <c r="F10" s="6"/>
    </row>
    <row r="11" spans="1:6">
      <c r="A11" s="6"/>
      <c r="B11" s="11"/>
      <c r="C11" s="11"/>
      <c r="D11" s="14"/>
      <c r="E11" s="11"/>
      <c r="F11" s="6"/>
    </row>
    <row r="12" spans="1:6">
      <c r="A12" s="44" t="s">
        <v>158</v>
      </c>
      <c r="B12" s="54"/>
      <c r="C12" s="54"/>
      <c r="D12" s="46"/>
      <c r="E12" s="54"/>
      <c r="F12" s="44"/>
    </row>
    <row r="13" spans="1:6">
      <c r="A13" s="2" t="s">
        <v>159</v>
      </c>
      <c r="B13" s="3" t="s">
        <v>160</v>
      </c>
      <c r="C13" s="3" t="s">
        <v>161</v>
      </c>
      <c r="D13" s="32"/>
      <c r="E13" s="11"/>
      <c r="F13" s="6"/>
    </row>
    <row r="14" spans="1:6">
      <c r="A14" s="27" t="s">
        <v>162</v>
      </c>
      <c r="B14" s="28">
        <v>0.75</v>
      </c>
      <c r="C14" s="29" t="s">
        <v>163</v>
      </c>
      <c r="D14" s="33"/>
      <c r="E14" s="11"/>
      <c r="F14" s="6"/>
    </row>
    <row r="15" spans="1:6" ht="28">
      <c r="A15" s="27" t="s">
        <v>164</v>
      </c>
      <c r="B15" s="28">
        <v>0.85</v>
      </c>
      <c r="C15" s="29" t="s">
        <v>163</v>
      </c>
      <c r="D15" s="33"/>
      <c r="E15" s="11"/>
      <c r="F15" s="6"/>
    </row>
    <row r="16" spans="1:6" ht="28">
      <c r="A16" s="27" t="s">
        <v>165</v>
      </c>
      <c r="B16" s="28">
        <v>0.9</v>
      </c>
      <c r="C16" s="29" t="s">
        <v>163</v>
      </c>
      <c r="D16" s="33"/>
      <c r="E16" s="11"/>
      <c r="F16" s="6"/>
    </row>
    <row r="17" spans="1:6">
      <c r="A17" s="27" t="s">
        <v>166</v>
      </c>
      <c r="B17" s="28">
        <v>0.39360000000000001</v>
      </c>
      <c r="C17" s="29" t="s">
        <v>163</v>
      </c>
      <c r="D17" s="33"/>
      <c r="E17" s="11"/>
      <c r="F17" s="6"/>
    </row>
    <row r="18" spans="1:6">
      <c r="A18" s="27" t="s">
        <v>167</v>
      </c>
      <c r="B18" s="28">
        <v>0.82</v>
      </c>
      <c r="C18" s="29" t="s">
        <v>163</v>
      </c>
      <c r="D18" s="33"/>
      <c r="E18" s="11"/>
      <c r="F18" s="6"/>
    </row>
    <row r="19" spans="1:6">
      <c r="A19" s="27" t="s">
        <v>168</v>
      </c>
      <c r="B19" s="30">
        <v>7.0000000000000001E-3</v>
      </c>
      <c r="C19" s="29" t="s">
        <v>169</v>
      </c>
      <c r="D19" s="33"/>
      <c r="E19" s="11"/>
      <c r="F19" s="6"/>
    </row>
    <row r="20" spans="1:6">
      <c r="A20" s="27" t="s">
        <v>170</v>
      </c>
      <c r="B20" s="28">
        <v>0.5</v>
      </c>
      <c r="C20" s="29" t="s">
        <v>163</v>
      </c>
      <c r="D20" s="33"/>
      <c r="E20" s="11"/>
      <c r="F20" s="6"/>
    </row>
    <row r="21" spans="1:6">
      <c r="A21" s="27" t="s">
        <v>171</v>
      </c>
      <c r="B21" s="28">
        <v>0.01</v>
      </c>
      <c r="C21" s="29" t="s">
        <v>172</v>
      </c>
      <c r="D21" s="33"/>
      <c r="E21" s="11"/>
      <c r="F21" s="6"/>
    </row>
    <row r="22" spans="1:6">
      <c r="A22" s="27" t="s">
        <v>173</v>
      </c>
      <c r="B22" s="28">
        <v>0</v>
      </c>
      <c r="C22" s="29" t="s">
        <v>172</v>
      </c>
      <c r="D22" s="33"/>
      <c r="E22" s="11"/>
      <c r="F22" s="6"/>
    </row>
    <row r="23" spans="1:6">
      <c r="A23" s="27" t="s">
        <v>174</v>
      </c>
      <c r="B23" s="28">
        <v>3.6200000000000003E-2</v>
      </c>
      <c r="C23" s="29" t="s">
        <v>172</v>
      </c>
      <c r="D23" s="33"/>
      <c r="E23" s="11"/>
      <c r="F23" s="6"/>
    </row>
    <row r="24" spans="1:6">
      <c r="A24" s="27" t="s">
        <v>175</v>
      </c>
      <c r="B24" s="30">
        <v>2.94</v>
      </c>
      <c r="C24" s="29" t="s">
        <v>176</v>
      </c>
      <c r="D24" s="33"/>
      <c r="E24" s="11"/>
      <c r="F24" s="6"/>
    </row>
    <row r="25" spans="1:6">
      <c r="A25" s="27" t="s">
        <v>177</v>
      </c>
      <c r="B25" s="28">
        <v>9.2299999999999993E-2</v>
      </c>
      <c r="C25" s="29" t="s">
        <v>178</v>
      </c>
      <c r="D25" s="33"/>
      <c r="E25" s="11"/>
      <c r="F25" s="6"/>
    </row>
    <row r="26" spans="1:6">
      <c r="A26" s="27" t="s">
        <v>179</v>
      </c>
      <c r="B26" s="30">
        <v>0.60860000000000003</v>
      </c>
      <c r="C26" s="29" t="s">
        <v>180</v>
      </c>
      <c r="D26" s="33"/>
      <c r="E26" s="11"/>
      <c r="F26" s="6"/>
    </row>
    <row r="27" spans="1:6">
      <c r="A27" s="27" t="s">
        <v>181</v>
      </c>
      <c r="B27" s="28">
        <v>2.0999999999999999E-3</v>
      </c>
      <c r="C27" s="29" t="s">
        <v>182</v>
      </c>
      <c r="D27" s="33"/>
      <c r="E27" s="11"/>
      <c r="F27" s="6"/>
    </row>
    <row r="28" spans="1:6">
      <c r="A28" s="6" t="s">
        <v>223</v>
      </c>
      <c r="B28" s="11">
        <v>5000</v>
      </c>
      <c r="C28" s="11" t="s">
        <v>224</v>
      </c>
      <c r="D28" s="14"/>
      <c r="E28" s="11"/>
      <c r="F28" s="6"/>
    </row>
    <row r="29" spans="1:6">
      <c r="A29" s="44" t="s">
        <v>183</v>
      </c>
      <c r="B29" s="54"/>
      <c r="C29" s="54"/>
      <c r="D29" s="46"/>
      <c r="E29" s="54"/>
      <c r="F29" s="6"/>
    </row>
    <row r="30" spans="1:6" ht="28">
      <c r="A30" s="2" t="s">
        <v>184</v>
      </c>
      <c r="B30" s="3" t="s">
        <v>185</v>
      </c>
      <c r="C30" s="3" t="s">
        <v>186</v>
      </c>
      <c r="D30" s="5" t="s">
        <v>187</v>
      </c>
      <c r="E30" s="11"/>
      <c r="F30" s="6"/>
    </row>
    <row r="31" spans="1:6">
      <c r="A31" s="6" t="s">
        <v>102</v>
      </c>
      <c r="B31" s="8">
        <v>1.3</v>
      </c>
      <c r="C31" s="8">
        <v>2080</v>
      </c>
      <c r="D31" s="17">
        <f>B31*1000*C31/100</f>
        <v>27040</v>
      </c>
      <c r="E31" s="11"/>
      <c r="F31" s="6"/>
    </row>
    <row r="32" spans="1:6">
      <c r="A32" s="6" t="s">
        <v>100</v>
      </c>
      <c r="B32" s="8">
        <v>10.72</v>
      </c>
      <c r="C32" s="8">
        <v>700</v>
      </c>
      <c r="D32" s="17">
        <f>B32*1000*C32/100</f>
        <v>75040</v>
      </c>
      <c r="E32" s="11"/>
      <c r="F32" s="6"/>
    </row>
    <row r="33" spans="1:6">
      <c r="A33" s="6" t="s">
        <v>98</v>
      </c>
      <c r="B33" s="8">
        <v>10.72</v>
      </c>
      <c r="C33" s="8">
        <v>500</v>
      </c>
      <c r="D33" s="17">
        <f>B33*1000*C33/100</f>
        <v>53600</v>
      </c>
      <c r="E33" s="11"/>
      <c r="F33" s="6"/>
    </row>
    <row r="34" spans="1:6">
      <c r="A34" s="6" t="s">
        <v>85</v>
      </c>
      <c r="B34" s="8">
        <v>22</v>
      </c>
      <c r="C34" s="8">
        <v>196</v>
      </c>
      <c r="D34" s="17">
        <f>B34*1000*C34/100</f>
        <v>43120</v>
      </c>
      <c r="E34" s="11"/>
      <c r="F34" s="6"/>
    </row>
    <row r="35" spans="1:6">
      <c r="A35" s="6" t="s">
        <v>92</v>
      </c>
      <c r="B35" s="8">
        <v>10</v>
      </c>
      <c r="C35" s="8">
        <v>290</v>
      </c>
      <c r="D35" s="17">
        <f>B35*1000*C35/100</f>
        <v>29000</v>
      </c>
      <c r="E35" s="11"/>
      <c r="F35" s="6"/>
    </row>
    <row r="36" spans="1:6">
      <c r="A36" s="6"/>
      <c r="B36" s="11"/>
      <c r="C36" s="11"/>
      <c r="D36" s="14"/>
      <c r="E36" s="11"/>
      <c r="F36" s="6"/>
    </row>
    <row r="37" spans="1:6">
      <c r="A37" s="44" t="s">
        <v>188</v>
      </c>
      <c r="B37" s="54"/>
      <c r="C37" s="54"/>
      <c r="D37" s="46"/>
      <c r="E37" s="54"/>
      <c r="F37" s="6"/>
    </row>
    <row r="38" spans="1:6">
      <c r="A38" s="2" t="s">
        <v>184</v>
      </c>
      <c r="B38" s="3" t="s">
        <v>189</v>
      </c>
      <c r="C38" s="3" t="s">
        <v>190</v>
      </c>
      <c r="D38" s="5" t="s">
        <v>191</v>
      </c>
      <c r="E38" s="11"/>
      <c r="F38" s="6"/>
    </row>
    <row r="39" spans="1:6">
      <c r="A39" s="6" t="s">
        <v>192</v>
      </c>
      <c r="B39" s="8">
        <v>5132.2299999999996</v>
      </c>
      <c r="C39" s="8">
        <v>170</v>
      </c>
      <c r="D39" s="17">
        <f>B39/100*C39</f>
        <v>8724.7909999999993</v>
      </c>
      <c r="E39" s="11"/>
      <c r="F39" s="6"/>
    </row>
    <row r="40" spans="1:6">
      <c r="A40" s="6" t="s">
        <v>193</v>
      </c>
      <c r="B40" s="8">
        <v>2703</v>
      </c>
      <c r="C40" s="8">
        <v>180</v>
      </c>
      <c r="D40" s="17">
        <f>B40/100*C40</f>
        <v>4865.4000000000005</v>
      </c>
      <c r="E40" s="11"/>
      <c r="F40" s="6"/>
    </row>
    <row r="41" spans="1:6">
      <c r="A41" s="6" t="s">
        <v>194</v>
      </c>
      <c r="B41" s="8">
        <v>1750</v>
      </c>
      <c r="C41" s="8">
        <v>180</v>
      </c>
      <c r="D41" s="17">
        <f>B41/100*C41</f>
        <v>3150</v>
      </c>
      <c r="E41" s="11"/>
      <c r="F41" s="6"/>
    </row>
    <row r="42" spans="1:6">
      <c r="A42" s="6"/>
      <c r="B42" s="11"/>
      <c r="C42" s="11"/>
      <c r="D42" s="14"/>
      <c r="E42" s="11"/>
      <c r="F42" s="6"/>
    </row>
    <row r="43" spans="1:6">
      <c r="A43" s="44" t="s">
        <v>195</v>
      </c>
      <c r="B43" s="54"/>
      <c r="C43" s="54"/>
      <c r="D43" s="46"/>
      <c r="E43" s="54"/>
      <c r="F43" s="6"/>
    </row>
    <row r="44" spans="1:6" ht="28">
      <c r="A44" s="2" t="s">
        <v>184</v>
      </c>
      <c r="B44" s="3" t="s">
        <v>150</v>
      </c>
      <c r="C44" s="3" t="s">
        <v>151</v>
      </c>
      <c r="D44" s="5" t="s">
        <v>196</v>
      </c>
      <c r="E44" s="11"/>
      <c r="F44" s="6"/>
    </row>
    <row r="45" spans="1:6">
      <c r="A45" s="6" t="s">
        <v>81</v>
      </c>
      <c r="B45" s="8">
        <v>0.60099999999999998</v>
      </c>
      <c r="C45" s="8">
        <v>122875</v>
      </c>
      <c r="D45" s="17">
        <f>B45*C45</f>
        <v>73847.875</v>
      </c>
      <c r="E45" s="11"/>
      <c r="F45" s="6"/>
    </row>
    <row r="46" spans="1:6">
      <c r="A46" s="6" t="s">
        <v>82</v>
      </c>
      <c r="B46" s="8">
        <v>0.13700000000000001</v>
      </c>
      <c r="C46" s="8">
        <v>672500</v>
      </c>
      <c r="D46" s="17">
        <f>B46*C46</f>
        <v>92132.5</v>
      </c>
      <c r="E46" s="11"/>
      <c r="F46" s="6"/>
    </row>
    <row r="47" spans="1:6">
      <c r="A47" s="6" t="s">
        <v>83</v>
      </c>
      <c r="B47" s="8">
        <v>3.468</v>
      </c>
      <c r="C47" s="8">
        <v>51000</v>
      </c>
      <c r="D47" s="17">
        <f>B47*C47</f>
        <v>176868</v>
      </c>
      <c r="E47" s="11"/>
      <c r="F47" s="6"/>
    </row>
    <row r="48" spans="1:6">
      <c r="A48" s="6"/>
      <c r="B48" s="11"/>
      <c r="C48" s="11"/>
      <c r="D48" s="14"/>
      <c r="E48" s="11"/>
      <c r="F48" s="6"/>
    </row>
    <row r="49" spans="1:6">
      <c r="A49" s="41" t="s">
        <v>197</v>
      </c>
      <c r="B49" s="53"/>
      <c r="C49" s="53"/>
      <c r="D49" s="13">
        <f>IF(SUM(B45:B47)=0,0,SUM(D45:D47)/SUM(B45:B47))</f>
        <v>81514.116737993347</v>
      </c>
      <c r="E49" s="11"/>
      <c r="F49" s="6"/>
    </row>
    <row r="50" spans="1:6">
      <c r="A50" s="41" t="s">
        <v>198</v>
      </c>
      <c r="B50" s="53"/>
      <c r="C50" s="53"/>
      <c r="D50" s="13">
        <f>D49*$B$16</f>
        <v>73362.705064194015</v>
      </c>
      <c r="E50" s="11"/>
      <c r="F50" s="6"/>
    </row>
    <row r="51" spans="1:6">
      <c r="A51" s="6"/>
      <c r="B51" s="11"/>
      <c r="C51" s="11"/>
      <c r="D51" s="14"/>
      <c r="E51" s="11"/>
      <c r="F51" s="6"/>
    </row>
    <row r="52" spans="1:6">
      <c r="A52" s="44" t="s">
        <v>199</v>
      </c>
      <c r="B52" s="54"/>
      <c r="C52" s="54"/>
      <c r="D52" s="46"/>
      <c r="E52" s="54"/>
      <c r="F52" s="6"/>
    </row>
    <row r="53" spans="1:6" ht="28">
      <c r="A53" s="2" t="s">
        <v>184</v>
      </c>
      <c r="B53" s="3" t="s">
        <v>150</v>
      </c>
      <c r="C53" s="3" t="s">
        <v>151</v>
      </c>
      <c r="D53" s="5" t="s">
        <v>196</v>
      </c>
      <c r="E53" s="11"/>
      <c r="F53" s="6"/>
    </row>
    <row r="54" spans="1:6">
      <c r="A54" s="6" t="s">
        <v>92</v>
      </c>
      <c r="B54" s="9">
        <f>'Enter Values'!E60</f>
        <v>42.558</v>
      </c>
      <c r="C54" s="9">
        <f>'Enter Values'!F60</f>
        <v>29000</v>
      </c>
      <c r="D54" s="17">
        <f t="shared" ref="D54:D65" si="0">B54*C54</f>
        <v>1234182</v>
      </c>
      <c r="E54" s="11"/>
      <c r="F54" s="6"/>
    </row>
    <row r="55" spans="1:6">
      <c r="A55" s="6" t="s">
        <v>94</v>
      </c>
      <c r="B55" s="9">
        <f>'Enter Values'!E61</f>
        <v>0.64500000000000002</v>
      </c>
      <c r="C55" s="9">
        <f>'Enter Values'!F61</f>
        <v>42852</v>
      </c>
      <c r="D55" s="17">
        <f t="shared" si="0"/>
        <v>27639.54</v>
      </c>
      <c r="E55" s="11"/>
      <c r="F55" s="6"/>
    </row>
    <row r="56" spans="1:6">
      <c r="A56" s="6" t="s">
        <v>95</v>
      </c>
      <c r="B56" s="9">
        <f>'Enter Values'!E62</f>
        <v>0.27700000000000002</v>
      </c>
      <c r="C56" s="9">
        <f>'Enter Values'!F62</f>
        <v>799500</v>
      </c>
      <c r="D56" s="17">
        <f t="shared" si="0"/>
        <v>221461.50000000003</v>
      </c>
      <c r="E56" s="11"/>
      <c r="F56" s="6"/>
    </row>
    <row r="57" spans="1:6">
      <c r="A57" s="6" t="s">
        <v>96</v>
      </c>
      <c r="B57" s="9">
        <f>'Enter Values'!E63</f>
        <v>0.26100000000000001</v>
      </c>
      <c r="C57" s="9">
        <f>'Enter Values'!F63</f>
        <v>26280</v>
      </c>
      <c r="D57" s="17">
        <f t="shared" si="0"/>
        <v>6859.08</v>
      </c>
      <c r="E57" s="11"/>
      <c r="F57" s="6"/>
    </row>
    <row r="58" spans="1:6">
      <c r="A58" s="6" t="s">
        <v>97</v>
      </c>
      <c r="B58" s="9">
        <f>'Enter Values'!E64</f>
        <v>5.4180000000000001</v>
      </c>
      <c r="C58" s="9">
        <f>'Enter Values'!F64</f>
        <v>15801</v>
      </c>
      <c r="D58" s="17">
        <f t="shared" si="0"/>
        <v>85609.817999999999</v>
      </c>
      <c r="E58" s="11"/>
      <c r="F58" s="6"/>
    </row>
    <row r="59" spans="1:6">
      <c r="A59" s="6" t="s">
        <v>98</v>
      </c>
      <c r="B59" s="9">
        <f>'Enter Values'!E65</f>
        <v>1.946</v>
      </c>
      <c r="C59" s="9">
        <f>'Enter Values'!F65</f>
        <v>53600</v>
      </c>
      <c r="D59" s="17">
        <f t="shared" si="0"/>
        <v>104305.59999999999</v>
      </c>
      <c r="E59" s="11"/>
      <c r="F59" s="6"/>
    </row>
    <row r="60" spans="1:6">
      <c r="A60" s="6" t="s">
        <v>100</v>
      </c>
      <c r="B60" s="9">
        <f>'Enter Values'!E66</f>
        <v>3.351</v>
      </c>
      <c r="C60" s="9">
        <f>'Enter Values'!F66</f>
        <v>75040</v>
      </c>
      <c r="D60" s="17">
        <f t="shared" si="0"/>
        <v>251459.04</v>
      </c>
      <c r="E60" s="11"/>
      <c r="F60" s="6"/>
    </row>
    <row r="61" spans="1:6">
      <c r="A61" s="6" t="s">
        <v>101</v>
      </c>
      <c r="B61" s="9">
        <f>'Enter Values'!E67</f>
        <v>0.61499999999999999</v>
      </c>
      <c r="C61" s="9">
        <f>'Enter Values'!F67</f>
        <v>40752</v>
      </c>
      <c r="D61" s="17">
        <f t="shared" si="0"/>
        <v>25062.48</v>
      </c>
      <c r="E61" s="11"/>
      <c r="F61" s="6"/>
    </row>
    <row r="62" spans="1:6">
      <c r="A62" s="6" t="s">
        <v>102</v>
      </c>
      <c r="B62" s="9">
        <f>'Enter Values'!E68</f>
        <v>16.018999999999998</v>
      </c>
      <c r="C62" s="9">
        <f>'Enter Values'!F68</f>
        <v>27040</v>
      </c>
      <c r="D62" s="17">
        <f t="shared" si="0"/>
        <v>433153.75999999995</v>
      </c>
      <c r="E62" s="11"/>
      <c r="F62" s="6"/>
    </row>
    <row r="63" spans="1:6">
      <c r="A63" s="6" t="s">
        <v>105</v>
      </c>
      <c r="B63" s="9">
        <f>'Enter Values'!E70</f>
        <v>0</v>
      </c>
      <c r="C63" s="9">
        <f>'Enter Values'!F70</f>
        <v>0</v>
      </c>
      <c r="D63" s="17">
        <f t="shared" si="0"/>
        <v>0</v>
      </c>
      <c r="E63" s="11"/>
      <c r="F63" s="6"/>
    </row>
    <row r="64" spans="1:6">
      <c r="A64" s="6" t="s">
        <v>200</v>
      </c>
      <c r="B64" s="8">
        <v>0</v>
      </c>
      <c r="C64" s="8">
        <v>0</v>
      </c>
      <c r="D64" s="17">
        <f t="shared" si="0"/>
        <v>0</v>
      </c>
      <c r="E64" s="11"/>
      <c r="F64" s="6"/>
    </row>
    <row r="65" spans="1:6">
      <c r="A65" s="6" t="s">
        <v>106</v>
      </c>
      <c r="B65" s="9">
        <f>'Enter Values'!E71</f>
        <v>2.9620000000000002</v>
      </c>
      <c r="C65" s="9">
        <f>'Enter Values'!F71</f>
        <v>15302</v>
      </c>
      <c r="D65" s="17">
        <f t="shared" si="0"/>
        <v>45324.524000000005</v>
      </c>
      <c r="E65" s="11"/>
      <c r="F65" s="6"/>
    </row>
    <row r="66" spans="1:6">
      <c r="A66" s="6"/>
      <c r="B66" s="11"/>
      <c r="C66" s="11"/>
      <c r="D66" s="14"/>
      <c r="E66" s="11"/>
      <c r="F66" s="6"/>
    </row>
    <row r="67" spans="1:6">
      <c r="A67" s="41" t="s">
        <v>201</v>
      </c>
      <c r="B67" s="53"/>
      <c r="C67" s="53"/>
      <c r="D67" s="13">
        <f>IF(SUM(B54:B65)=0,0,SUM(D54:D65)/SUM(B54:B65))</f>
        <v>32883.073272835303</v>
      </c>
      <c r="E67" s="11"/>
      <c r="F67" s="6"/>
    </row>
    <row r="68" spans="1:6">
      <c r="A68" s="6"/>
      <c r="B68" s="11"/>
      <c r="C68" s="11"/>
      <c r="D68" s="11"/>
      <c r="E68" s="11"/>
      <c r="F68" s="6"/>
    </row>
    <row r="69" spans="1:6">
      <c r="A69" s="44" t="s">
        <v>202</v>
      </c>
      <c r="B69" s="54"/>
      <c r="C69" s="54"/>
      <c r="D69" s="54"/>
      <c r="E69" s="54"/>
      <c r="F69" s="6"/>
    </row>
    <row r="70" spans="1:6">
      <c r="A70" s="2" t="s">
        <v>203</v>
      </c>
      <c r="B70" s="3" t="s">
        <v>204</v>
      </c>
      <c r="C70" s="3" t="s">
        <v>205</v>
      </c>
      <c r="D70" s="3" t="s">
        <v>206</v>
      </c>
      <c r="E70" s="11"/>
      <c r="F70" s="6"/>
    </row>
    <row r="71" spans="1:6">
      <c r="A71" s="6" t="s">
        <v>207</v>
      </c>
      <c r="B71" s="8">
        <v>2103</v>
      </c>
      <c r="C71" s="8">
        <v>4</v>
      </c>
      <c r="D71" s="9">
        <f>B71*C71</f>
        <v>8412</v>
      </c>
      <c r="E71" s="11"/>
      <c r="F71" s="6"/>
    </row>
    <row r="72" spans="1:6">
      <c r="A72" s="6" t="s">
        <v>208</v>
      </c>
      <c r="B72" s="8">
        <v>4060</v>
      </c>
      <c r="C72" s="8">
        <v>1</v>
      </c>
      <c r="D72" s="9">
        <f>B72*C72</f>
        <v>4060</v>
      </c>
      <c r="E72" s="11"/>
      <c r="F72" s="6"/>
    </row>
    <row r="73" spans="1:6">
      <c r="A73" s="6" t="s">
        <v>209</v>
      </c>
      <c r="B73" s="8">
        <v>3450</v>
      </c>
      <c r="C73" s="8">
        <v>2</v>
      </c>
      <c r="D73" s="9">
        <f>B73*C73</f>
        <v>6900</v>
      </c>
      <c r="E73" s="11"/>
      <c r="F73" s="6"/>
    </row>
    <row r="74" spans="1:6">
      <c r="A74" s="6" t="s">
        <v>210</v>
      </c>
      <c r="B74" s="8">
        <v>2044</v>
      </c>
      <c r="C74" s="8">
        <v>2</v>
      </c>
      <c r="D74" s="9">
        <f>B74*C74</f>
        <v>4088</v>
      </c>
      <c r="E74" s="11"/>
      <c r="F74" s="6"/>
    </row>
    <row r="75" spans="1:6">
      <c r="A75" s="6" t="s">
        <v>211</v>
      </c>
      <c r="B75" s="8">
        <v>60277</v>
      </c>
      <c r="C75" s="8">
        <v>1</v>
      </c>
      <c r="D75" s="9">
        <f>B75*C75</f>
        <v>60277</v>
      </c>
      <c r="E75" s="11"/>
      <c r="F75" s="6"/>
    </row>
    <row r="76" spans="1:6">
      <c r="A76" s="6"/>
      <c r="B76" s="11"/>
      <c r="C76" s="11"/>
      <c r="D76" s="11"/>
      <c r="E76" s="11"/>
      <c r="F76" s="6"/>
    </row>
    <row r="77" spans="1:6">
      <c r="A77" s="41" t="s">
        <v>212</v>
      </c>
      <c r="B77" s="53"/>
      <c r="C77" s="53"/>
      <c r="D77" s="18">
        <f>SUM(D71:D75)</f>
        <v>83737</v>
      </c>
      <c r="E77" s="11"/>
      <c r="F77" s="6"/>
    </row>
    <row r="78" spans="1:6">
      <c r="A78" s="41" t="s">
        <v>213</v>
      </c>
      <c r="B78" s="53"/>
      <c r="C78" s="53"/>
      <c r="D78" s="18">
        <f>D77/1000</f>
        <v>83.736999999999995</v>
      </c>
      <c r="E78" s="11"/>
      <c r="F78" s="6"/>
    </row>
    <row r="79" spans="1:6">
      <c r="A79" s="41" t="s">
        <v>214</v>
      </c>
      <c r="B79" s="53"/>
      <c r="C79" s="53"/>
      <c r="D79" s="18">
        <f>D78*$B$26</f>
        <v>50.962338199999998</v>
      </c>
      <c r="E79" s="11"/>
      <c r="F79" s="6"/>
    </row>
    <row r="80" spans="1:6">
      <c r="A80" s="6"/>
      <c r="B80" s="11" t="s">
        <v>234</v>
      </c>
      <c r="C80" s="11" t="s">
        <v>235</v>
      </c>
      <c r="D80" s="11"/>
      <c r="E80" s="11"/>
      <c r="F80" s="6"/>
    </row>
    <row r="81" spans="1:6" ht="28.5">
      <c r="A81" s="6" t="s">
        <v>215</v>
      </c>
      <c r="B81" s="8">
        <v>2722530</v>
      </c>
      <c r="C81" s="36">
        <v>2.0999999999999999E-3</v>
      </c>
      <c r="D81" s="9">
        <f>B81*C81</f>
        <v>5717.3129999999992</v>
      </c>
      <c r="E81" s="4"/>
      <c r="F81" s="1"/>
    </row>
  </sheetData>
  <mergeCells count="16">
    <mergeCell ref="A1:F1"/>
    <mergeCell ref="A2:F2"/>
    <mergeCell ref="A4:F4"/>
    <mergeCell ref="A10:C10"/>
    <mergeCell ref="A12:F12"/>
    <mergeCell ref="A29:E29"/>
    <mergeCell ref="A37:E37"/>
    <mergeCell ref="A43:E43"/>
    <mergeCell ref="A49:C49"/>
    <mergeCell ref="A50:C50"/>
    <mergeCell ref="A79:C79"/>
    <mergeCell ref="A52:E52"/>
    <mergeCell ref="A67:C67"/>
    <mergeCell ref="A69:E69"/>
    <mergeCell ref="A77:C77"/>
    <mergeCell ref="A78:C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GVA Calculation</vt:lpstr>
      <vt:lpstr>Enter Values</vt:lpstr>
      <vt:lpstr>Ratios Applied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Vardhan Singh</dc:creator>
  <cp:lastModifiedBy>Harsh Vardhan Singh</cp:lastModifiedBy>
  <dcterms:created xsi:type="dcterms:W3CDTF">2026-08-18T08:21:28Z</dcterms:created>
  <dcterms:modified xsi:type="dcterms:W3CDTF">2026-08-18T09:24:00Z</dcterms:modified>
</cp:coreProperties>
</file>